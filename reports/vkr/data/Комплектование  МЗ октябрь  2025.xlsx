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thon\Projects\django_edu_hub\reports\vkr\data\"/>
    </mc:Choice>
  </mc:AlternateContent>
  <xr:revisionPtr revIDLastSave="0" documentId="13_ncr:1_{5BF0D0D8-841D-4364-BF2E-B1014A2AB7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.10.2025  СРП" sheetId="5" r:id="rId1"/>
    <sheet name="01.10.2025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0" i="4" l="1"/>
  <c r="G70" i="4"/>
  <c r="H70" i="4"/>
  <c r="I70" i="4"/>
  <c r="J70" i="4"/>
  <c r="K70" i="4"/>
  <c r="L70" i="4"/>
  <c r="M70" i="4"/>
  <c r="N70" i="4"/>
  <c r="O70" i="4"/>
  <c r="P70" i="4"/>
  <c r="D70" i="4"/>
  <c r="E70" i="4"/>
  <c r="P20" i="5" l="1"/>
  <c r="O20" i="5"/>
  <c r="N20" i="5"/>
  <c r="M20" i="5"/>
  <c r="L20" i="5"/>
  <c r="K20" i="5"/>
  <c r="J20" i="5"/>
  <c r="I20" i="5"/>
  <c r="H20" i="5"/>
  <c r="G20" i="5"/>
  <c r="F20" i="5"/>
  <c r="E20" i="5"/>
  <c r="D20" i="5"/>
  <c r="P102" i="4" l="1"/>
  <c r="O102" i="4"/>
  <c r="N102" i="4"/>
  <c r="M102" i="4"/>
  <c r="L102" i="4"/>
  <c r="K102" i="4"/>
  <c r="J102" i="4"/>
  <c r="I102" i="4"/>
  <c r="H102" i="4"/>
  <c r="G102" i="4"/>
  <c r="F102" i="4"/>
  <c r="E102" i="4"/>
  <c r="D102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I104" i="4" l="1"/>
  <c r="M104" i="4"/>
  <c r="J104" i="4"/>
  <c r="L104" i="4"/>
  <c r="K104" i="4"/>
  <c r="N104" i="4"/>
  <c r="E104" i="4"/>
  <c r="D104" i="4"/>
  <c r="O104" i="4"/>
  <c r="H104" i="4"/>
  <c r="F104" i="4"/>
  <c r="G104" i="4"/>
  <c r="P104" i="4"/>
</calcChain>
</file>

<file path=xl/sharedStrings.xml><?xml version="1.0" encoding="utf-8"?>
<sst xmlns="http://schemas.openxmlformats.org/spreadsheetml/2006/main" count="269" uniqueCount="180">
  <si>
    <t>№п/п</t>
  </si>
  <si>
    <t>Наименование детского объединения по направленностям</t>
  </si>
  <si>
    <t>Кол-во групп</t>
  </si>
  <si>
    <t>Количество кружковцев / детей</t>
  </si>
  <si>
    <t xml:space="preserve">Всего </t>
  </si>
  <si>
    <t xml:space="preserve">Дошкольного образования </t>
  </si>
  <si>
    <t>Начального образования кружк./детей</t>
  </si>
  <si>
    <t>Основного общего образования</t>
  </si>
  <si>
    <t>Полного среднего образования</t>
  </si>
  <si>
    <t>Нагрузка педагога, кол-во часов в неделю</t>
  </si>
  <si>
    <t>кружк.</t>
  </si>
  <si>
    <t>детей</t>
  </si>
  <si>
    <t>Ф.И.О. педагога</t>
  </si>
  <si>
    <t>Молодёжь, выпускники  старше 18 лет</t>
  </si>
  <si>
    <t>Утверждаю</t>
  </si>
  <si>
    <t>Футбольный клуб</t>
  </si>
  <si>
    <t>Каратэ</t>
  </si>
  <si>
    <t xml:space="preserve">Баранова Александра Борисовна </t>
  </si>
  <si>
    <t xml:space="preserve">Григорьев Евгений Владимирович </t>
  </si>
  <si>
    <t xml:space="preserve">Заика Олеся Геннадьевна </t>
  </si>
  <si>
    <t xml:space="preserve">Рощина Наталья Георгиевна </t>
  </si>
  <si>
    <t xml:space="preserve">Мажейко Ольга Владимировна </t>
  </si>
  <si>
    <t xml:space="preserve">Орлова Раиса Захаровна </t>
  </si>
  <si>
    <t>Полуянов Эдуард Александрович</t>
  </si>
  <si>
    <t xml:space="preserve">Токпанов Рашид Каптаевич </t>
  </si>
  <si>
    <t xml:space="preserve">Федоров  Дмитрий Алексеевич </t>
  </si>
  <si>
    <t xml:space="preserve">Шмырина Елена Валентиновна </t>
  </si>
  <si>
    <t xml:space="preserve">Васильева Александра Николаевна </t>
  </si>
  <si>
    <t xml:space="preserve">Черемных Мария Александровна </t>
  </si>
  <si>
    <t xml:space="preserve">Ромашова Екатерина Павловна </t>
  </si>
  <si>
    <t xml:space="preserve">Вокруг  света </t>
  </si>
  <si>
    <t>Городская программа  "Поиграй со мной в театр"</t>
  </si>
  <si>
    <t>1. Естественно научная направленность</t>
  </si>
  <si>
    <t>2. Научно техническая направленность</t>
  </si>
  <si>
    <t>4. Физкультурно спортивная направленность</t>
  </si>
  <si>
    <t>Итого</t>
  </si>
  <si>
    <t>ВСЕГО</t>
  </si>
  <si>
    <t>Тевелевич Ольга Владимировна</t>
  </si>
  <si>
    <t>Вожатский круг</t>
  </si>
  <si>
    <t>Психолог 0,5 ставки</t>
  </si>
  <si>
    <t xml:space="preserve">Белова Кристина Владиславовна </t>
  </si>
  <si>
    <t>Спортивная акробатика "Сияние"</t>
  </si>
  <si>
    <t xml:space="preserve">Босенко Наталья Ивановна </t>
  </si>
  <si>
    <t>Студия "Театр + игра"</t>
  </si>
  <si>
    <t xml:space="preserve">Студия Изобразилия </t>
  </si>
  <si>
    <t xml:space="preserve">инд. </t>
  </si>
  <si>
    <t xml:space="preserve">Академия чисел </t>
  </si>
  <si>
    <t xml:space="preserve">Путешествия во времени </t>
  </si>
  <si>
    <t>Подготовка к школе</t>
  </si>
  <si>
    <t xml:space="preserve">Школа  аниматоров </t>
  </si>
  <si>
    <t>Музыкальные ступени</t>
  </si>
  <si>
    <t xml:space="preserve">Рисовашки </t>
  </si>
  <si>
    <t>Исследовательская лаборатория</t>
  </si>
  <si>
    <t xml:space="preserve">Матвеева Анастасия Владимировна </t>
  </si>
  <si>
    <t xml:space="preserve">Лымарева Дина Александровна </t>
  </si>
  <si>
    <t>Английский клуб</t>
  </si>
  <si>
    <t>Английский язык</t>
  </si>
  <si>
    <t>Логопед 1,5  ставки</t>
  </si>
  <si>
    <t xml:space="preserve">Шпак Ульяна Сергеевна </t>
  </si>
  <si>
    <t>5. Художественная направленность</t>
  </si>
  <si>
    <t>Компьютерная грамотность</t>
  </si>
  <si>
    <t>Пельдяков Даниил Романович</t>
  </si>
  <si>
    <t>В стране Английского языка</t>
  </si>
  <si>
    <t>Бэби дэнс</t>
  </si>
  <si>
    <t>Кибергигиена и большие данные</t>
  </si>
  <si>
    <t>Алгоритмика (Скрейч )</t>
  </si>
  <si>
    <t>Спортивная акробатика "Энергия"</t>
  </si>
  <si>
    <t xml:space="preserve">Смирнова Екатерина Михайловна </t>
  </si>
  <si>
    <t xml:space="preserve">Зайцева Алена Андреевна </t>
  </si>
  <si>
    <t xml:space="preserve">Оброзовательная Робототехника </t>
  </si>
  <si>
    <t>Соревновательная роботтехника</t>
  </si>
  <si>
    <t>Робототехника Знаток</t>
  </si>
  <si>
    <t xml:space="preserve">Лего конструирование </t>
  </si>
  <si>
    <t>Робототехника Wedo (2:0)</t>
  </si>
  <si>
    <t xml:space="preserve">Новоселова Анастасия Сергеевна </t>
  </si>
  <si>
    <t>1 ставка</t>
  </si>
  <si>
    <t>1,5 ставки</t>
  </si>
  <si>
    <t xml:space="preserve">0,5 ставки </t>
  </si>
  <si>
    <t>Изостудия № 2 школьники</t>
  </si>
  <si>
    <t>Студия современного танца "Грани"</t>
  </si>
  <si>
    <t xml:space="preserve">Струговцова Екатерина Андреевна </t>
  </si>
  <si>
    <t>3. Социально гуманитарная направленность</t>
  </si>
  <si>
    <t xml:space="preserve">Лего Спайк Прайм </t>
  </si>
  <si>
    <t xml:space="preserve">Киберспорт </t>
  </si>
  <si>
    <t>Хореографический коллекти "Hit dance"</t>
  </si>
  <si>
    <t>Школа валяния "Шерстяника"</t>
  </si>
  <si>
    <t>Студия бального танца  "Гармония"</t>
  </si>
  <si>
    <t xml:space="preserve">Дизайн интерьеров </t>
  </si>
  <si>
    <t xml:space="preserve">Рисунок, живопись, композиция </t>
  </si>
  <si>
    <t>Скульптура, Лепка</t>
  </si>
  <si>
    <t xml:space="preserve">Печальнова Ольга Алексеевна </t>
  </si>
  <si>
    <t xml:space="preserve">Смирнова Варвара Андреевна </t>
  </si>
  <si>
    <t>Ансамбль "Созвучие"</t>
  </si>
  <si>
    <t>Вокальная студия "Созвучие"</t>
  </si>
  <si>
    <t xml:space="preserve">Стендап Школа </t>
  </si>
  <si>
    <t>Психологический клуб "Исскуство быть собой"</t>
  </si>
  <si>
    <t xml:space="preserve">Скорочтение </t>
  </si>
  <si>
    <t xml:space="preserve">Маткина Ксения Евгеньевна </t>
  </si>
  <si>
    <t>Служба ранней помощи</t>
  </si>
  <si>
    <t>1. Социально гуманитарная направленность</t>
  </si>
  <si>
    <t>Служба ранней помощи приемы</t>
  </si>
  <si>
    <t>Музыка и движение (СРП)</t>
  </si>
  <si>
    <t xml:space="preserve">Основы програмироавния на зязыке Пайтон </t>
  </si>
  <si>
    <t xml:space="preserve">Колесник Ксения Викторовна </t>
  </si>
  <si>
    <t>Соревновательная Роботтехника ЕВ 3</t>
  </si>
  <si>
    <t>Образовательная Робототехника ЕВ 3</t>
  </si>
  <si>
    <t>Робототехника Wedo (1:0)</t>
  </si>
  <si>
    <t xml:space="preserve">Оширова Руслана Васильевна </t>
  </si>
  <si>
    <t xml:space="preserve">Юпатова Виктория Анатольевна </t>
  </si>
  <si>
    <t xml:space="preserve">Селянинов Денис Владимирович </t>
  </si>
  <si>
    <t>Основы програмироавния на зязыке Пайтон - дубль</t>
  </si>
  <si>
    <t xml:space="preserve">Юлдашова Лола Шухратжоновна </t>
  </si>
  <si>
    <t xml:space="preserve">Информатика и введение в програмирование </t>
  </si>
  <si>
    <t xml:space="preserve">Графическая иллюстрация </t>
  </si>
  <si>
    <t>Веб програмирование</t>
  </si>
  <si>
    <t xml:space="preserve">Митькина Ксения Александровна </t>
  </si>
  <si>
    <t xml:space="preserve">Глушко Евгения Юрьевна </t>
  </si>
  <si>
    <t xml:space="preserve">Заярская Анастасия Викторовна </t>
  </si>
  <si>
    <t xml:space="preserve">Клуб единоборства "Титан" </t>
  </si>
  <si>
    <t>Афанасьева Ирина Валерьевна</t>
  </si>
  <si>
    <t>Вокальная студия "Соло"</t>
  </si>
  <si>
    <t xml:space="preserve">Изостудия  Аквамарин </t>
  </si>
  <si>
    <t xml:space="preserve">Учимся читать </t>
  </si>
  <si>
    <t xml:space="preserve">Гураль Екатерина Александровна </t>
  </si>
  <si>
    <t xml:space="preserve">Гураль Илья Сергеевич </t>
  </si>
  <si>
    <t xml:space="preserve">Начальник отдела  </t>
  </si>
  <si>
    <t>дополнительного образования детей</t>
  </si>
  <si>
    <t>Начальник отдела   воспитания</t>
  </si>
  <si>
    <t>Директор МАОУ "Томский Хобби-центр"</t>
  </si>
  <si>
    <t xml:space="preserve">_______________________ Л.В. Дубровина </t>
  </si>
  <si>
    <t xml:space="preserve">_______________________ 2025 г. </t>
  </si>
  <si>
    <t>_________________ Л.А. Лапкина</t>
  </si>
  <si>
    <t>______________ 2025 г.</t>
  </si>
  <si>
    <t xml:space="preserve">_________________ Л.А. Лапкина </t>
  </si>
  <si>
    <t xml:space="preserve"> Комплектование учебных групп, творческих объединений на базе МАОУ ДО ЦТР и ГО "Томский Хобби-центр" на 2025-2026 учебный год  по Муниципальному заданию ( охват детей  до 5 лет и  объединения с  зачислением в течении учебного года)</t>
  </si>
  <si>
    <t xml:space="preserve">Кириллова Татьяна Валерьевна </t>
  </si>
  <si>
    <t xml:space="preserve">Ефимова Анастасия Валерьевна </t>
  </si>
  <si>
    <t xml:space="preserve">Горбунова  Дарья Валерьевна </t>
  </si>
  <si>
    <t xml:space="preserve">Шипунов Евгений Евгеньевич </t>
  </si>
  <si>
    <t xml:space="preserve">Разработка мобильнх игр </t>
  </si>
  <si>
    <t>Графический дизайн Фигма</t>
  </si>
  <si>
    <t>Основы фотографии</t>
  </si>
  <si>
    <t xml:space="preserve">Колесова Елизавета Михайловна </t>
  </si>
  <si>
    <t>Микроэлектроника Arduino</t>
  </si>
  <si>
    <t>Основы  3 Д моделировние в Блендер</t>
  </si>
  <si>
    <t>Микроэлектроника Arduino - сетевое взаимодействие (Гуманитарный лицей)</t>
  </si>
  <si>
    <t>Микроэлектроника Arduino - сетевое взаимодействие (6 гимназия)</t>
  </si>
  <si>
    <t>3 Д моделирование в Tinkercad - сетевое взаимодействие (Гуманитарный лицей)</t>
  </si>
  <si>
    <t>Програмирование на Scratch</t>
  </si>
  <si>
    <t>Програмирование на Scratch - сетевое взаимодейсмтвие (12 школа)</t>
  </si>
  <si>
    <t xml:space="preserve">Тогущакова Варвара Станиславовна </t>
  </si>
  <si>
    <t xml:space="preserve">3 Д моделирование в Tinkercad </t>
  </si>
  <si>
    <t>Arduino Матрешка</t>
  </si>
  <si>
    <t>Робототехника Wedo (2:0) - сетевое взаимодействие (12 школа)</t>
  </si>
  <si>
    <t>Робототехника Wedo (2:0) - сетевое взаимодействие (6 гимназия)</t>
  </si>
  <si>
    <t xml:space="preserve">Филатова Анастасия Владимировна </t>
  </si>
  <si>
    <t xml:space="preserve">Башмакова Виктория Владимировна </t>
  </si>
  <si>
    <t>3 Д моделирование в КОМПАС</t>
  </si>
  <si>
    <t xml:space="preserve">Горбунова Дарья Валерьевна </t>
  </si>
  <si>
    <t xml:space="preserve">Ланина Анастасия Павловна </t>
  </si>
  <si>
    <t>ЧитайСчитай - Скорочтение, Ментальная арифметика</t>
  </si>
  <si>
    <t>Маткина Ксения Евгеньевна, Гураль Екатерина Александровна</t>
  </si>
  <si>
    <t xml:space="preserve">Подковыкина Мария Александровна </t>
  </si>
  <si>
    <t>Психолог 0,9 ставки</t>
  </si>
  <si>
    <t xml:space="preserve">0,9 ставки </t>
  </si>
  <si>
    <t>Психолог 1 ставка</t>
  </si>
  <si>
    <t>Кандалова Марина Владимировна</t>
  </si>
  <si>
    <t>Логопед 0,5 ставки</t>
  </si>
  <si>
    <t xml:space="preserve">Аникина Яна Николаевна </t>
  </si>
  <si>
    <t xml:space="preserve">Добрыгина  Элина Александровна </t>
  </si>
  <si>
    <t xml:space="preserve">Смирнова Елизавета Сергеевнам </t>
  </si>
  <si>
    <t>ОФП - Хореографический коллекти "Hit dance"</t>
  </si>
  <si>
    <t xml:space="preserve">Королева Екатерина Владимировна </t>
  </si>
  <si>
    <t xml:space="preserve">Рукодельницы - Азбука вязания </t>
  </si>
  <si>
    <t xml:space="preserve">Рукодельницы </t>
  </si>
  <si>
    <t xml:space="preserve">Савельева Анастасия Николаевна </t>
  </si>
  <si>
    <t>Исследовательская лаборатория -  сетевое взаимодействие (д.сад Зоркальцево)</t>
  </si>
  <si>
    <t xml:space="preserve"> Комплектование учебных групп, творческих объединений на базе МАОУ ДО ЦТР и ГО "Томский Хобби-центр" на 2025-2026 учебный год  по Муниципальному заданию (Охват детей от 5 до 18 лет)</t>
  </si>
  <si>
    <t xml:space="preserve">_______________________ 2026 г. </t>
  </si>
  <si>
    <t>______________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</si>
</sst>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i/>
      <sz val="10"/>
      <name val="Arial Cyr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0" xfId="0" applyFill="1"/>
    <xf numFmtId="0" fontId="0" fillId="0" borderId="2" xfId="0" applyFill="1" applyBorder="1"/>
    <xf numFmtId="0" fontId="0" fillId="0" borderId="0" xfId="0" applyBorder="1"/>
    <xf numFmtId="0" fontId="6" fillId="0" borderId="2" xfId="0" applyFont="1" applyFill="1" applyBorder="1"/>
    <xf numFmtId="0" fontId="6" fillId="0" borderId="2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right" vertical="top"/>
    </xf>
    <xf numFmtId="0" fontId="0" fillId="0" borderId="2" xfId="0" applyFont="1" applyFill="1" applyBorder="1" applyAlignment="1">
      <alignment horizontal="right" vertical="top"/>
    </xf>
    <xf numFmtId="0" fontId="6" fillId="0" borderId="2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>
      <alignment horizontal="right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right"/>
    </xf>
    <xf numFmtId="0" fontId="9" fillId="0" borderId="0" xfId="0" applyFont="1" applyFill="1"/>
    <xf numFmtId="0" fontId="9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/>
    <xf numFmtId="0" fontId="0" fillId="0" borderId="2" xfId="0" applyFill="1" applyBorder="1" applyAlignment="1">
      <alignment horizontal="left"/>
    </xf>
    <xf numFmtId="0" fontId="9" fillId="0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0" fontId="9" fillId="0" borderId="0" xfId="0" applyFont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8" fillId="0" borderId="2" xfId="0" applyFont="1" applyFill="1" applyBorder="1" applyAlignment="1"/>
    <xf numFmtId="0" fontId="0" fillId="0" borderId="0" xfId="0" applyFill="1" applyBorder="1" applyAlignment="1">
      <alignment horizontal="left"/>
    </xf>
    <xf numFmtId="0" fontId="9" fillId="0" borderId="0" xfId="0" applyFont="1" applyFill="1" applyBorder="1"/>
    <xf numFmtId="0" fontId="0" fillId="0" borderId="0" xfId="0" applyFill="1" applyBorder="1"/>
    <xf numFmtId="0" fontId="0" fillId="0" borderId="3" xfId="0" applyFill="1" applyBorder="1" applyAlignment="1">
      <alignment horizontal="left" wrapText="1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right"/>
    </xf>
    <xf numFmtId="0" fontId="0" fillId="0" borderId="3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3" fillId="0" borderId="2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right"/>
    </xf>
    <xf numFmtId="0" fontId="4" fillId="0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zoomScale="90" zoomScaleNormal="90" workbookViewId="0">
      <pane ySplit="10" topLeftCell="A11" activePane="bottomLeft" state="frozen"/>
      <selection pane="bottomLeft" activeCell="C27" sqref="C27"/>
    </sheetView>
  </sheetViews>
  <sheetFormatPr defaultRowHeight="15" x14ac:dyDescent="0.25"/>
  <cols>
    <col min="1" max="1" width="6.85546875" style="30" customWidth="1"/>
    <col min="2" max="2" width="56.85546875" customWidth="1"/>
    <col min="3" max="3" width="63.140625" customWidth="1"/>
    <col min="4" max="4" width="7.5703125" style="9" customWidth="1"/>
    <col min="5" max="5" width="8" style="9" customWidth="1"/>
    <col min="6" max="6" width="7.42578125" style="9" customWidth="1"/>
    <col min="7" max="7" width="7.5703125" style="16" customWidth="1"/>
    <col min="8" max="8" width="6.7109375" style="9" customWidth="1"/>
    <col min="9" max="10" width="7.140625" style="9" customWidth="1"/>
    <col min="11" max="11" width="7.28515625" style="9" customWidth="1"/>
    <col min="12" max="12" width="7.140625" style="9" customWidth="1"/>
    <col min="13" max="13" width="8.28515625" style="9" customWidth="1"/>
    <col min="14" max="14" width="7.28515625" style="9" customWidth="1"/>
    <col min="15" max="15" width="10.5703125" style="9" customWidth="1"/>
    <col min="16" max="16" width="16.85546875" style="9" customWidth="1"/>
  </cols>
  <sheetData>
    <row r="1" spans="1:16" x14ac:dyDescent="0.25">
      <c r="B1" t="s">
        <v>14</v>
      </c>
      <c r="L1" s="16"/>
      <c r="M1" s="56" t="s">
        <v>14</v>
      </c>
      <c r="N1" s="56"/>
      <c r="O1" s="56"/>
      <c r="P1" s="56"/>
    </row>
    <row r="2" spans="1:16" x14ac:dyDescent="0.25">
      <c r="B2" t="s">
        <v>128</v>
      </c>
      <c r="L2" s="16"/>
      <c r="M2" s="56" t="s">
        <v>125</v>
      </c>
      <c r="N2" s="56"/>
      <c r="O2" s="56"/>
      <c r="P2" s="56"/>
    </row>
    <row r="3" spans="1:16" x14ac:dyDescent="0.25">
      <c r="B3" s="4" t="s">
        <v>129</v>
      </c>
      <c r="C3" s="4"/>
      <c r="D3" s="16"/>
      <c r="M3" s="56" t="s">
        <v>126</v>
      </c>
      <c r="N3" s="56"/>
      <c r="O3" s="56"/>
      <c r="P3" s="56"/>
    </row>
    <row r="4" spans="1:16" x14ac:dyDescent="0.25">
      <c r="B4" s="4" t="s">
        <v>130</v>
      </c>
      <c r="C4" s="4"/>
      <c r="D4" s="16"/>
      <c r="M4" s="56" t="s">
        <v>133</v>
      </c>
      <c r="N4" s="56"/>
      <c r="O4" s="56"/>
      <c r="P4" s="56"/>
    </row>
    <row r="5" spans="1:16" ht="35.25" customHeight="1" x14ac:dyDescent="0.25">
      <c r="B5" s="4"/>
      <c r="C5" s="4"/>
      <c r="D5" s="16"/>
      <c r="L5" s="16"/>
      <c r="M5" s="57" t="s">
        <v>132</v>
      </c>
      <c r="N5" s="57"/>
      <c r="O5" s="57"/>
      <c r="P5" s="57"/>
    </row>
    <row r="6" spans="1:16" ht="30.75" customHeight="1" x14ac:dyDescent="0.25">
      <c r="A6" s="55" t="s">
        <v>134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1:16" x14ac:dyDescent="0.25">
      <c r="A7" s="31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61" t="s">
        <v>0</v>
      </c>
      <c r="B8" s="62" t="s">
        <v>1</v>
      </c>
      <c r="C8" s="62" t="s">
        <v>12</v>
      </c>
      <c r="D8" s="59" t="s">
        <v>2</v>
      </c>
      <c r="E8" s="63" t="s">
        <v>3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38"/>
    </row>
    <row r="9" spans="1:16" x14ac:dyDescent="0.25">
      <c r="A9" s="61"/>
      <c r="B9" s="62"/>
      <c r="C9" s="62"/>
      <c r="D9" s="59"/>
      <c r="E9" s="59" t="s">
        <v>4</v>
      </c>
      <c r="F9" s="59"/>
      <c r="G9" s="59" t="s">
        <v>5</v>
      </c>
      <c r="H9" s="59"/>
      <c r="I9" s="59" t="s">
        <v>6</v>
      </c>
      <c r="J9" s="59"/>
      <c r="K9" s="59" t="s">
        <v>7</v>
      </c>
      <c r="L9" s="59"/>
      <c r="M9" s="59" t="s">
        <v>8</v>
      </c>
      <c r="N9" s="59"/>
      <c r="O9" s="58" t="s">
        <v>13</v>
      </c>
      <c r="P9" s="59" t="s">
        <v>9</v>
      </c>
    </row>
    <row r="10" spans="1:16" ht="36.75" customHeight="1" x14ac:dyDescent="0.25">
      <c r="A10" s="61"/>
      <c r="B10" s="62"/>
      <c r="C10" s="62"/>
      <c r="D10" s="59"/>
      <c r="E10" s="11" t="s">
        <v>10</v>
      </c>
      <c r="F10" s="11" t="s">
        <v>11</v>
      </c>
      <c r="G10" s="11" t="s">
        <v>10</v>
      </c>
      <c r="H10" s="11" t="s">
        <v>11</v>
      </c>
      <c r="I10" s="12" t="s">
        <v>10</v>
      </c>
      <c r="J10" s="11" t="s">
        <v>11</v>
      </c>
      <c r="K10" s="11" t="s">
        <v>10</v>
      </c>
      <c r="L10" s="11" t="s">
        <v>11</v>
      </c>
      <c r="M10" s="11" t="s">
        <v>10</v>
      </c>
      <c r="N10" s="11" t="s">
        <v>11</v>
      </c>
      <c r="O10" s="58"/>
      <c r="P10" s="59"/>
    </row>
    <row r="11" spans="1:16" s="4" customFormat="1" ht="15" customHeight="1" x14ac:dyDescent="0.25">
      <c r="A11" s="60" t="s">
        <v>98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</row>
    <row r="12" spans="1:16" s="4" customFormat="1" ht="15" customHeight="1" x14ac:dyDescent="0.25">
      <c r="A12" s="60" t="s">
        <v>99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</row>
    <row r="13" spans="1:16" s="4" customFormat="1" ht="15" customHeight="1" x14ac:dyDescent="0.25">
      <c r="A13" s="2">
        <v>1</v>
      </c>
      <c r="B13" s="24" t="s">
        <v>57</v>
      </c>
      <c r="C13" s="18" t="s">
        <v>27</v>
      </c>
      <c r="D13" s="43" t="s">
        <v>45</v>
      </c>
      <c r="E13" s="3">
        <v>42</v>
      </c>
      <c r="F13" s="43">
        <v>35</v>
      </c>
      <c r="G13" s="43">
        <v>22</v>
      </c>
      <c r="H13" s="43">
        <v>22</v>
      </c>
      <c r="I13" s="43">
        <v>20</v>
      </c>
      <c r="J13" s="43">
        <v>13</v>
      </c>
      <c r="K13" s="43"/>
      <c r="L13" s="43"/>
      <c r="M13" s="43"/>
      <c r="N13" s="43"/>
      <c r="O13" s="43"/>
      <c r="P13" s="43" t="s">
        <v>76</v>
      </c>
    </row>
    <row r="14" spans="1:16" s="4" customFormat="1" ht="15" customHeight="1" x14ac:dyDescent="0.25">
      <c r="A14" s="2">
        <v>4</v>
      </c>
      <c r="B14" s="24" t="s">
        <v>167</v>
      </c>
      <c r="C14" s="18" t="s">
        <v>166</v>
      </c>
      <c r="D14" s="43" t="s">
        <v>45</v>
      </c>
      <c r="E14" s="3">
        <v>20</v>
      </c>
      <c r="F14" s="43">
        <v>15</v>
      </c>
      <c r="G14" s="43">
        <v>10</v>
      </c>
      <c r="H14" s="43">
        <v>8</v>
      </c>
      <c r="I14" s="43">
        <v>10</v>
      </c>
      <c r="J14" s="43">
        <v>7</v>
      </c>
      <c r="K14" s="43"/>
      <c r="L14" s="43"/>
      <c r="M14" s="43"/>
      <c r="N14" s="43"/>
      <c r="O14" s="43"/>
      <c r="P14" s="43" t="s">
        <v>77</v>
      </c>
    </row>
    <row r="15" spans="1:16" s="4" customFormat="1" ht="15" customHeight="1" x14ac:dyDescent="0.25">
      <c r="A15" s="36">
        <v>6</v>
      </c>
      <c r="B15" s="24" t="s">
        <v>163</v>
      </c>
      <c r="C15" s="18" t="s">
        <v>159</v>
      </c>
      <c r="D15" s="43" t="s">
        <v>45</v>
      </c>
      <c r="E15" s="3">
        <v>20</v>
      </c>
      <c r="F15" s="43">
        <v>20</v>
      </c>
      <c r="G15" s="43"/>
      <c r="H15" s="43"/>
      <c r="I15" s="43"/>
      <c r="J15" s="43"/>
      <c r="K15" s="43"/>
      <c r="L15" s="43"/>
      <c r="M15" s="43">
        <v>20</v>
      </c>
      <c r="N15" s="43">
        <v>20</v>
      </c>
      <c r="O15" s="43"/>
      <c r="P15" s="43" t="s">
        <v>164</v>
      </c>
    </row>
    <row r="16" spans="1:16" s="4" customFormat="1" ht="15" customHeight="1" x14ac:dyDescent="0.25">
      <c r="A16" s="40">
        <v>11</v>
      </c>
      <c r="B16" s="24" t="s">
        <v>165</v>
      </c>
      <c r="C16" s="18" t="s">
        <v>115</v>
      </c>
      <c r="D16" s="43" t="s">
        <v>45</v>
      </c>
      <c r="E16" s="3">
        <v>42</v>
      </c>
      <c r="F16" s="43">
        <v>42</v>
      </c>
      <c r="G16" s="43">
        <v>13</v>
      </c>
      <c r="H16" s="43">
        <v>13</v>
      </c>
      <c r="I16" s="43">
        <v>14</v>
      </c>
      <c r="J16" s="43">
        <v>14</v>
      </c>
      <c r="K16" s="43">
        <v>14</v>
      </c>
      <c r="L16" s="43">
        <v>14</v>
      </c>
      <c r="M16" s="43">
        <v>1</v>
      </c>
      <c r="N16" s="43">
        <v>1</v>
      </c>
      <c r="O16" s="43"/>
      <c r="P16" s="43" t="s">
        <v>75</v>
      </c>
    </row>
    <row r="17" spans="1:16" s="4" customFormat="1" ht="15" customHeight="1" x14ac:dyDescent="0.25">
      <c r="A17" s="2">
        <v>13</v>
      </c>
      <c r="B17" s="18" t="s">
        <v>101</v>
      </c>
      <c r="C17" s="18" t="s">
        <v>29</v>
      </c>
      <c r="D17" s="43">
        <v>2</v>
      </c>
      <c r="E17" s="3">
        <v>19</v>
      </c>
      <c r="F17" s="43">
        <v>15</v>
      </c>
      <c r="G17" s="43">
        <v>19</v>
      </c>
      <c r="H17" s="43">
        <v>15</v>
      </c>
      <c r="I17" s="43"/>
      <c r="J17" s="43"/>
      <c r="K17" s="43"/>
      <c r="L17" s="43"/>
      <c r="M17" s="43"/>
      <c r="N17" s="43"/>
      <c r="O17" s="43"/>
      <c r="P17" s="43">
        <v>4</v>
      </c>
    </row>
    <row r="18" spans="1:16" s="4" customFormat="1" ht="15" customHeight="1" x14ac:dyDescent="0.25">
      <c r="A18" s="40">
        <v>14</v>
      </c>
      <c r="B18" s="17" t="s">
        <v>100</v>
      </c>
      <c r="C18" s="18" t="s">
        <v>29</v>
      </c>
      <c r="D18" s="43" t="s">
        <v>45</v>
      </c>
      <c r="E18" s="3">
        <v>25</v>
      </c>
      <c r="F18" s="43">
        <v>25</v>
      </c>
      <c r="G18" s="43">
        <v>10</v>
      </c>
      <c r="H18" s="43">
        <v>10</v>
      </c>
      <c r="I18" s="43">
        <v>15</v>
      </c>
      <c r="J18" s="43">
        <v>15</v>
      </c>
      <c r="K18" s="43"/>
      <c r="L18" s="43"/>
      <c r="M18" s="43"/>
      <c r="N18" s="43"/>
      <c r="O18" s="43"/>
      <c r="P18" s="43">
        <v>10</v>
      </c>
    </row>
    <row r="19" spans="1:16" s="4" customFormat="1" ht="15" customHeight="1" x14ac:dyDescent="0.25">
      <c r="A19" s="39">
        <v>19</v>
      </c>
      <c r="B19" s="51" t="s">
        <v>39</v>
      </c>
      <c r="C19" s="52" t="s">
        <v>58</v>
      </c>
      <c r="D19" s="53" t="s">
        <v>45</v>
      </c>
      <c r="E19" s="54">
        <v>25</v>
      </c>
      <c r="F19" s="53">
        <v>15</v>
      </c>
      <c r="G19" s="53">
        <v>25</v>
      </c>
      <c r="H19" s="53">
        <v>15</v>
      </c>
      <c r="I19" s="53"/>
      <c r="J19" s="53"/>
      <c r="K19" s="53"/>
      <c r="L19" s="53"/>
      <c r="M19" s="53"/>
      <c r="N19" s="53"/>
      <c r="O19" s="53"/>
      <c r="P19" s="53" t="s">
        <v>77</v>
      </c>
    </row>
    <row r="20" spans="1:16" s="22" customFormat="1" ht="15" customHeight="1" x14ac:dyDescent="0.25">
      <c r="A20" s="32"/>
      <c r="B20" s="27" t="s">
        <v>35</v>
      </c>
      <c r="C20" s="20"/>
      <c r="D20" s="21">
        <f>SUM(D15:D19)</f>
        <v>2</v>
      </c>
      <c r="E20" s="21">
        <f t="shared" ref="E20:P20" si="0">SUM(E13:E19)</f>
        <v>193</v>
      </c>
      <c r="F20" s="21">
        <f t="shared" si="0"/>
        <v>167</v>
      </c>
      <c r="G20" s="21">
        <f t="shared" si="0"/>
        <v>99</v>
      </c>
      <c r="H20" s="21">
        <f t="shared" si="0"/>
        <v>83</v>
      </c>
      <c r="I20" s="21">
        <f t="shared" si="0"/>
        <v>59</v>
      </c>
      <c r="J20" s="21">
        <f t="shared" si="0"/>
        <v>49</v>
      </c>
      <c r="K20" s="21">
        <f t="shared" si="0"/>
        <v>14</v>
      </c>
      <c r="L20" s="21">
        <f t="shared" si="0"/>
        <v>14</v>
      </c>
      <c r="M20" s="21">
        <f t="shared" si="0"/>
        <v>21</v>
      </c>
      <c r="N20" s="21">
        <f t="shared" si="0"/>
        <v>21</v>
      </c>
      <c r="O20" s="21">
        <f t="shared" si="0"/>
        <v>0</v>
      </c>
      <c r="P20" s="21">
        <f t="shared" si="0"/>
        <v>14</v>
      </c>
    </row>
    <row r="21" spans="1:16" s="6" customFormat="1" x14ac:dyDescent="0.25">
      <c r="A21" s="34"/>
      <c r="D21" s="15"/>
      <c r="E21" s="15"/>
      <c r="F21" s="15"/>
      <c r="G21" s="14"/>
      <c r="H21" s="15"/>
      <c r="I21" s="15"/>
      <c r="J21" s="15"/>
      <c r="K21" s="15"/>
      <c r="L21" s="15"/>
      <c r="M21" s="15"/>
      <c r="N21" s="15"/>
      <c r="O21" s="15"/>
      <c r="P21" s="15"/>
    </row>
    <row r="22" spans="1:16" s="6" customFormat="1" x14ac:dyDescent="0.25">
      <c r="A22" s="34"/>
      <c r="D22" s="15"/>
      <c r="E22" s="15"/>
      <c r="F22" s="15"/>
      <c r="G22" s="14"/>
      <c r="H22" s="15"/>
      <c r="I22" s="15"/>
      <c r="J22" s="15"/>
      <c r="K22" s="15"/>
      <c r="L22" s="15"/>
      <c r="M22" s="15"/>
      <c r="N22" s="15"/>
      <c r="O22" s="15"/>
      <c r="P22" s="15"/>
    </row>
    <row r="23" spans="1:16" s="6" customFormat="1" x14ac:dyDescent="0.25">
      <c r="A23" s="34"/>
      <c r="D23" s="15"/>
      <c r="E23" s="15"/>
      <c r="F23" s="15"/>
      <c r="G23" s="14"/>
      <c r="H23" s="15"/>
      <c r="I23" s="15"/>
      <c r="J23" s="15"/>
      <c r="K23" s="15"/>
      <c r="L23" s="15"/>
      <c r="M23" s="15"/>
      <c r="N23" s="15"/>
      <c r="O23" s="15"/>
      <c r="P23" s="15"/>
    </row>
    <row r="24" spans="1:16" s="6" customFormat="1" x14ac:dyDescent="0.25">
      <c r="A24" s="34"/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5"/>
      <c r="O24" s="15"/>
      <c r="P24" s="15"/>
    </row>
  </sheetData>
  <sortState xmlns:xlrd2="http://schemas.microsoft.com/office/spreadsheetml/2017/richdata2" ref="A13:P19">
    <sortCondition ref="C13:C19"/>
  </sortState>
  <mergeCells count="20">
    <mergeCell ref="O9:O10"/>
    <mergeCell ref="P9:P10"/>
    <mergeCell ref="A11:P11"/>
    <mergeCell ref="A12:P12"/>
    <mergeCell ref="A8:A10"/>
    <mergeCell ref="B8:B10"/>
    <mergeCell ref="C8:C10"/>
    <mergeCell ref="D8:D10"/>
    <mergeCell ref="E8:O8"/>
    <mergeCell ref="E9:F9"/>
    <mergeCell ref="G9:H9"/>
    <mergeCell ref="I9:J9"/>
    <mergeCell ref="K9:L9"/>
    <mergeCell ref="M9:N9"/>
    <mergeCell ref="A6:P6"/>
    <mergeCell ref="M1:P1"/>
    <mergeCell ref="M2:P2"/>
    <mergeCell ref="M3:P3"/>
    <mergeCell ref="M4:P4"/>
    <mergeCell ref="M5:P5"/>
  </mergeCells>
  <pageMargins left="0.7" right="0.7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13"/>
  <sheetViews>
    <sheetView tabSelected="1" zoomScale="90" zoomScaleNormal="90" workbookViewId="0">
      <pane ySplit="10" topLeftCell="A20" activePane="bottomLeft" state="frozen"/>
      <selection pane="bottomLeft" activeCell="D104" sqref="D104"/>
    </sheetView>
  </sheetViews>
  <sheetFormatPr defaultRowHeight="15" x14ac:dyDescent="0.25"/>
  <cols>
    <col min="1" max="1" width="6.85546875" style="30" customWidth="1"/>
    <col min="2" max="2" width="74.7109375" customWidth="1"/>
    <col min="3" max="3" width="63.140625" customWidth="1"/>
    <col min="4" max="4" width="13.7109375" style="9" customWidth="1"/>
    <col min="5" max="5" width="12.42578125" style="9" customWidth="1"/>
    <col min="6" max="6" width="7.42578125" style="16" customWidth="1"/>
    <col min="7" max="7" width="7.5703125" style="16" customWidth="1"/>
    <col min="8" max="8" width="6.7109375" style="9" customWidth="1"/>
    <col min="9" max="10" width="7.140625" style="9" customWidth="1"/>
    <col min="11" max="11" width="7.28515625" style="9" customWidth="1"/>
    <col min="12" max="12" width="7.140625" style="9" customWidth="1"/>
    <col min="13" max="13" width="8.28515625" style="9" customWidth="1"/>
    <col min="14" max="14" width="7.28515625" style="9" customWidth="1"/>
    <col min="15" max="15" width="10.5703125" style="9" customWidth="1"/>
    <col min="16" max="16" width="16.85546875" style="9" customWidth="1"/>
  </cols>
  <sheetData>
    <row r="1" spans="1:16" x14ac:dyDescent="0.25">
      <c r="B1" t="s">
        <v>14</v>
      </c>
      <c r="L1" s="16"/>
      <c r="M1" s="56" t="s">
        <v>14</v>
      </c>
      <c r="N1" s="56"/>
      <c r="O1" s="56"/>
      <c r="P1" s="56"/>
    </row>
    <row r="2" spans="1:16" x14ac:dyDescent="0.25">
      <c r="B2" t="s">
        <v>128</v>
      </c>
      <c r="L2" s="16"/>
      <c r="M2" s="56" t="s">
        <v>127</v>
      </c>
      <c r="N2" s="56"/>
      <c r="O2" s="56"/>
      <c r="P2" s="56"/>
    </row>
    <row r="3" spans="1:16" x14ac:dyDescent="0.25">
      <c r="B3" s="4" t="s">
        <v>129</v>
      </c>
      <c r="C3" s="4"/>
      <c r="D3" s="16"/>
      <c r="M3" s="56" t="s">
        <v>126</v>
      </c>
      <c r="N3" s="56"/>
      <c r="O3" s="56"/>
      <c r="P3" s="56"/>
    </row>
    <row r="4" spans="1:16" x14ac:dyDescent="0.25">
      <c r="B4" s="4" t="s">
        <v>178</v>
      </c>
      <c r="C4" s="4"/>
      <c r="D4" s="16"/>
      <c r="M4" s="56" t="s">
        <v>131</v>
      </c>
      <c r="N4" s="56"/>
      <c r="O4" s="56"/>
      <c r="P4" s="56"/>
    </row>
    <row r="5" spans="1:16" ht="35.25" customHeight="1" x14ac:dyDescent="0.25">
      <c r="B5" s="4"/>
      <c r="C5" s="4"/>
      <c r="D5" s="16"/>
      <c r="L5" s="16"/>
      <c r="M5" s="57" t="s">
        <v>179</v>
      </c>
      <c r="N5" s="57"/>
      <c r="O5" s="57"/>
      <c r="P5" s="57"/>
    </row>
    <row r="6" spans="1:16" ht="30.75" customHeight="1" x14ac:dyDescent="0.25">
      <c r="A6" s="55" t="s">
        <v>177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1:16" x14ac:dyDescent="0.25">
      <c r="A7" s="31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61" t="s">
        <v>0</v>
      </c>
      <c r="B8" s="62" t="s">
        <v>1</v>
      </c>
      <c r="C8" s="62" t="s">
        <v>12</v>
      </c>
      <c r="D8" s="59" t="s">
        <v>2</v>
      </c>
      <c r="E8" s="63" t="s">
        <v>3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38"/>
    </row>
    <row r="9" spans="1:16" x14ac:dyDescent="0.25">
      <c r="A9" s="61"/>
      <c r="B9" s="62"/>
      <c r="C9" s="62"/>
      <c r="D9" s="59"/>
      <c r="E9" s="59" t="s">
        <v>4</v>
      </c>
      <c r="F9" s="59"/>
      <c r="G9" s="59" t="s">
        <v>5</v>
      </c>
      <c r="H9" s="59"/>
      <c r="I9" s="59" t="s">
        <v>6</v>
      </c>
      <c r="J9" s="59"/>
      <c r="K9" s="59" t="s">
        <v>7</v>
      </c>
      <c r="L9" s="59"/>
      <c r="M9" s="59" t="s">
        <v>8</v>
      </c>
      <c r="N9" s="59"/>
      <c r="O9" s="58" t="s">
        <v>13</v>
      </c>
      <c r="P9" s="59" t="s">
        <v>9</v>
      </c>
    </row>
    <row r="10" spans="1:16" ht="36.75" customHeight="1" x14ac:dyDescent="0.25">
      <c r="A10" s="61"/>
      <c r="B10" s="62"/>
      <c r="C10" s="62"/>
      <c r="D10" s="59"/>
      <c r="E10" s="11" t="s">
        <v>10</v>
      </c>
      <c r="F10" s="11" t="s">
        <v>11</v>
      </c>
      <c r="G10" s="11" t="s">
        <v>10</v>
      </c>
      <c r="H10" s="11" t="s">
        <v>11</v>
      </c>
      <c r="I10" s="12" t="s">
        <v>10</v>
      </c>
      <c r="J10" s="11" t="s">
        <v>11</v>
      </c>
      <c r="K10" s="11" t="s">
        <v>10</v>
      </c>
      <c r="L10" s="11" t="s">
        <v>11</v>
      </c>
      <c r="M10" s="11" t="s">
        <v>10</v>
      </c>
      <c r="N10" s="11" t="s">
        <v>11</v>
      </c>
      <c r="O10" s="58"/>
      <c r="P10" s="59"/>
    </row>
    <row r="11" spans="1:16" s="4" customFormat="1" ht="15" customHeight="1" x14ac:dyDescent="0.25">
      <c r="A11" s="60" t="s">
        <v>32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</row>
    <row r="12" spans="1:16" s="4" customFormat="1" ht="15" customHeight="1" x14ac:dyDescent="0.25">
      <c r="A12" s="44">
        <v>1</v>
      </c>
      <c r="B12" s="45" t="s">
        <v>30</v>
      </c>
      <c r="C12" s="18" t="s">
        <v>68</v>
      </c>
      <c r="D12" s="43">
        <v>1</v>
      </c>
      <c r="E12" s="3">
        <v>10</v>
      </c>
      <c r="F12" s="43">
        <v>3</v>
      </c>
      <c r="G12" s="43">
        <v>10</v>
      </c>
      <c r="H12" s="43">
        <v>3</v>
      </c>
      <c r="I12" s="43"/>
      <c r="J12" s="43"/>
      <c r="K12" s="43"/>
      <c r="L12" s="43"/>
      <c r="M12" s="43"/>
      <c r="N12" s="43"/>
      <c r="O12" s="43"/>
      <c r="P12" s="43">
        <v>4</v>
      </c>
    </row>
    <row r="13" spans="1:16" s="4" customFormat="1" ht="15" customHeight="1" x14ac:dyDescent="0.25">
      <c r="A13" s="2">
        <v>2</v>
      </c>
      <c r="B13" s="45" t="s">
        <v>52</v>
      </c>
      <c r="C13" s="18" t="s">
        <v>53</v>
      </c>
      <c r="D13" s="43">
        <v>2</v>
      </c>
      <c r="E13" s="3">
        <v>20</v>
      </c>
      <c r="F13" s="43">
        <v>11</v>
      </c>
      <c r="G13" s="43">
        <v>20</v>
      </c>
      <c r="H13" s="43">
        <v>11</v>
      </c>
      <c r="I13" s="43"/>
      <c r="J13" s="43"/>
      <c r="K13" s="43"/>
      <c r="L13" s="43"/>
      <c r="M13" s="43"/>
      <c r="N13" s="43"/>
      <c r="O13" s="43"/>
      <c r="P13" s="43">
        <v>4</v>
      </c>
    </row>
    <row r="14" spans="1:16" s="4" customFormat="1" ht="15" customHeight="1" x14ac:dyDescent="0.25">
      <c r="A14" s="2">
        <v>2</v>
      </c>
      <c r="B14" s="45" t="s">
        <v>176</v>
      </c>
      <c r="C14" s="18" t="s">
        <v>53</v>
      </c>
      <c r="D14" s="43">
        <v>2</v>
      </c>
      <c r="E14" s="3">
        <v>24</v>
      </c>
      <c r="F14" s="43">
        <v>24</v>
      </c>
      <c r="G14" s="43"/>
      <c r="H14" s="43"/>
      <c r="I14" s="43">
        <v>24</v>
      </c>
      <c r="J14" s="43">
        <v>24</v>
      </c>
      <c r="K14" s="43"/>
      <c r="L14" s="43"/>
      <c r="M14" s="43"/>
      <c r="N14" s="43"/>
      <c r="O14" s="43"/>
      <c r="P14" s="43">
        <v>4</v>
      </c>
    </row>
    <row r="15" spans="1:16" s="4" customFormat="1" ht="15" customHeight="1" x14ac:dyDescent="0.25">
      <c r="A15" s="44">
        <v>3</v>
      </c>
      <c r="B15" s="5" t="s">
        <v>47</v>
      </c>
      <c r="C15" s="5" t="s">
        <v>20</v>
      </c>
      <c r="D15" s="43">
        <v>2</v>
      </c>
      <c r="E15" s="3">
        <v>20</v>
      </c>
      <c r="F15" s="43">
        <v>12</v>
      </c>
      <c r="G15" s="43"/>
      <c r="H15" s="43"/>
      <c r="I15" s="43">
        <v>10</v>
      </c>
      <c r="J15" s="43">
        <v>6</v>
      </c>
      <c r="K15" s="43">
        <v>10</v>
      </c>
      <c r="L15" s="43">
        <v>6</v>
      </c>
      <c r="M15" s="43"/>
      <c r="N15" s="43"/>
      <c r="O15" s="43"/>
      <c r="P15" s="43">
        <v>8</v>
      </c>
    </row>
    <row r="16" spans="1:16" s="4" customFormat="1" ht="15" customHeight="1" x14ac:dyDescent="0.25">
      <c r="A16" s="2">
        <v>4</v>
      </c>
      <c r="B16" s="5" t="s">
        <v>46</v>
      </c>
      <c r="C16" s="5" t="s">
        <v>28</v>
      </c>
      <c r="D16" s="43">
        <v>2</v>
      </c>
      <c r="E16" s="3">
        <v>20</v>
      </c>
      <c r="F16" s="43">
        <v>6</v>
      </c>
      <c r="G16" s="43"/>
      <c r="H16" s="43"/>
      <c r="I16" s="43">
        <v>20</v>
      </c>
      <c r="J16" s="43">
        <v>6</v>
      </c>
      <c r="K16" s="43"/>
      <c r="L16" s="43"/>
      <c r="M16" s="43"/>
      <c r="N16" s="43"/>
      <c r="O16" s="43"/>
      <c r="P16" s="43">
        <v>4</v>
      </c>
    </row>
    <row r="17" spans="1:16" s="22" customFormat="1" ht="15" customHeight="1" x14ac:dyDescent="0.25">
      <c r="A17" s="32"/>
      <c r="B17" s="20" t="s">
        <v>35</v>
      </c>
      <c r="C17" s="20"/>
      <c r="D17" s="21">
        <f t="shared" ref="D17:P17" si="0">SUM(D12:D16)</f>
        <v>9</v>
      </c>
      <c r="E17" s="21">
        <f t="shared" si="0"/>
        <v>94</v>
      </c>
      <c r="F17" s="21">
        <f t="shared" si="0"/>
        <v>56</v>
      </c>
      <c r="G17" s="21">
        <f t="shared" si="0"/>
        <v>30</v>
      </c>
      <c r="H17" s="21">
        <f t="shared" si="0"/>
        <v>14</v>
      </c>
      <c r="I17" s="21">
        <f t="shared" si="0"/>
        <v>54</v>
      </c>
      <c r="J17" s="21">
        <f t="shared" si="0"/>
        <v>36</v>
      </c>
      <c r="K17" s="21">
        <f t="shared" si="0"/>
        <v>10</v>
      </c>
      <c r="L17" s="21">
        <f t="shared" si="0"/>
        <v>6</v>
      </c>
      <c r="M17" s="21">
        <f t="shared" si="0"/>
        <v>0</v>
      </c>
      <c r="N17" s="21">
        <f t="shared" si="0"/>
        <v>0</v>
      </c>
      <c r="O17" s="21">
        <f t="shared" si="0"/>
        <v>0</v>
      </c>
      <c r="P17" s="21">
        <f t="shared" si="0"/>
        <v>24</v>
      </c>
    </row>
    <row r="18" spans="1:16" s="4" customFormat="1" ht="15" customHeight="1" x14ac:dyDescent="0.25">
      <c r="A18" s="60" t="s">
        <v>33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spans="1:16" s="4" customFormat="1" ht="15" customHeight="1" x14ac:dyDescent="0.25">
      <c r="A19" s="28">
        <v>1</v>
      </c>
      <c r="B19" s="17" t="s">
        <v>157</v>
      </c>
      <c r="C19" s="46" t="s">
        <v>156</v>
      </c>
      <c r="D19" s="47">
        <v>5</v>
      </c>
      <c r="E19" s="47">
        <v>60</v>
      </c>
      <c r="F19" s="47">
        <v>37</v>
      </c>
      <c r="G19" s="47"/>
      <c r="H19" s="47"/>
      <c r="I19" s="47"/>
      <c r="J19" s="47"/>
      <c r="K19" s="47">
        <v>59</v>
      </c>
      <c r="L19" s="47">
        <v>37</v>
      </c>
      <c r="M19" s="47">
        <v>1</v>
      </c>
      <c r="N19" s="47">
        <v>0</v>
      </c>
      <c r="O19" s="47"/>
      <c r="P19" s="47">
        <v>20</v>
      </c>
    </row>
    <row r="20" spans="1:16" s="4" customFormat="1" ht="15" customHeight="1" x14ac:dyDescent="0.25">
      <c r="A20" s="28">
        <v>2</v>
      </c>
      <c r="B20" s="17" t="s">
        <v>82</v>
      </c>
      <c r="C20" s="18" t="s">
        <v>137</v>
      </c>
      <c r="D20" s="43">
        <v>2</v>
      </c>
      <c r="E20" s="43">
        <v>24</v>
      </c>
      <c r="F20" s="43">
        <v>18</v>
      </c>
      <c r="G20" s="43"/>
      <c r="H20" s="43"/>
      <c r="I20" s="43">
        <v>24</v>
      </c>
      <c r="J20" s="43">
        <v>18</v>
      </c>
      <c r="K20" s="43"/>
      <c r="L20" s="43"/>
      <c r="M20" s="43"/>
      <c r="N20" s="43"/>
      <c r="O20" s="43"/>
      <c r="P20" s="3">
        <v>8</v>
      </c>
    </row>
    <row r="21" spans="1:16" s="4" customFormat="1" ht="15" customHeight="1" x14ac:dyDescent="0.25">
      <c r="A21" s="28">
        <v>3</v>
      </c>
      <c r="B21" s="17" t="s">
        <v>65</v>
      </c>
      <c r="C21" s="18" t="s">
        <v>137</v>
      </c>
      <c r="D21" s="43">
        <v>3</v>
      </c>
      <c r="E21" s="43">
        <v>36</v>
      </c>
      <c r="F21" s="43">
        <v>35</v>
      </c>
      <c r="G21" s="43"/>
      <c r="H21" s="43"/>
      <c r="I21" s="43">
        <v>36</v>
      </c>
      <c r="J21" s="43">
        <v>35</v>
      </c>
      <c r="K21" s="43"/>
      <c r="L21" s="43"/>
      <c r="M21" s="43"/>
      <c r="N21" s="43"/>
      <c r="O21" s="43"/>
      <c r="P21" s="3">
        <v>12</v>
      </c>
    </row>
    <row r="22" spans="1:16" s="4" customFormat="1" ht="15" customHeight="1" x14ac:dyDescent="0.25">
      <c r="A22" s="28">
        <v>4</v>
      </c>
      <c r="B22" s="17" t="s">
        <v>64</v>
      </c>
      <c r="C22" s="18" t="s">
        <v>158</v>
      </c>
      <c r="D22" s="43">
        <v>2</v>
      </c>
      <c r="E22" s="43">
        <v>24</v>
      </c>
      <c r="F22" s="43">
        <v>20</v>
      </c>
      <c r="G22" s="43"/>
      <c r="H22" s="43"/>
      <c r="I22" s="43">
        <v>19</v>
      </c>
      <c r="J22" s="43">
        <v>15</v>
      </c>
      <c r="K22" s="43">
        <v>5</v>
      </c>
      <c r="L22" s="43">
        <v>5</v>
      </c>
      <c r="M22" s="43"/>
      <c r="N22" s="43"/>
      <c r="O22" s="43"/>
      <c r="P22" s="3">
        <v>8</v>
      </c>
    </row>
    <row r="23" spans="1:16" s="4" customFormat="1" ht="15" customHeight="1" x14ac:dyDescent="0.25">
      <c r="A23" s="28">
        <v>5</v>
      </c>
      <c r="B23" s="17" t="s">
        <v>102</v>
      </c>
      <c r="C23" s="18" t="s">
        <v>124</v>
      </c>
      <c r="D23" s="43">
        <v>2</v>
      </c>
      <c r="E23" s="43">
        <v>24</v>
      </c>
      <c r="F23" s="43">
        <v>24</v>
      </c>
      <c r="G23" s="43"/>
      <c r="H23" s="43"/>
      <c r="I23" s="43"/>
      <c r="J23" s="43"/>
      <c r="K23" s="43">
        <v>24</v>
      </c>
      <c r="L23" s="43">
        <v>24</v>
      </c>
      <c r="M23" s="43"/>
      <c r="N23" s="43"/>
      <c r="O23" s="43"/>
      <c r="P23" s="3">
        <v>8</v>
      </c>
    </row>
    <row r="24" spans="1:16" s="4" customFormat="1" ht="15" customHeight="1" x14ac:dyDescent="0.25">
      <c r="A24" s="28">
        <v>6</v>
      </c>
      <c r="B24" s="17" t="s">
        <v>112</v>
      </c>
      <c r="C24" s="18" t="s">
        <v>124</v>
      </c>
      <c r="D24" s="43">
        <v>2</v>
      </c>
      <c r="E24" s="43">
        <v>24</v>
      </c>
      <c r="F24" s="43">
        <v>24</v>
      </c>
      <c r="G24" s="43"/>
      <c r="H24" s="43"/>
      <c r="I24" s="43"/>
      <c r="J24" s="43"/>
      <c r="K24" s="43">
        <v>12</v>
      </c>
      <c r="L24" s="43">
        <v>12</v>
      </c>
      <c r="M24" s="43">
        <v>12</v>
      </c>
      <c r="N24" s="43">
        <v>12</v>
      </c>
      <c r="O24" s="43"/>
      <c r="P24" s="3">
        <v>8</v>
      </c>
    </row>
    <row r="25" spans="1:16" s="4" customFormat="1" ht="15" customHeight="1" x14ac:dyDescent="0.25">
      <c r="A25" s="28">
        <v>7</v>
      </c>
      <c r="B25" s="17" t="s">
        <v>73</v>
      </c>
      <c r="C25" s="18" t="s">
        <v>136</v>
      </c>
      <c r="D25" s="43">
        <v>4</v>
      </c>
      <c r="E25" s="43">
        <v>48</v>
      </c>
      <c r="F25" s="43">
        <v>48</v>
      </c>
      <c r="G25" s="43"/>
      <c r="H25" s="43"/>
      <c r="I25" s="43">
        <v>48</v>
      </c>
      <c r="J25" s="43">
        <v>48</v>
      </c>
      <c r="K25" s="43"/>
      <c r="L25" s="43"/>
      <c r="M25" s="43"/>
      <c r="N25" s="43"/>
      <c r="O25" s="43"/>
      <c r="P25" s="3">
        <v>16</v>
      </c>
    </row>
    <row r="26" spans="1:16" s="4" customFormat="1" ht="15" customHeight="1" x14ac:dyDescent="0.25">
      <c r="A26" s="28">
        <v>8</v>
      </c>
      <c r="B26" s="17" t="s">
        <v>71</v>
      </c>
      <c r="C26" s="18" t="s">
        <v>136</v>
      </c>
      <c r="D26" s="43">
        <v>2</v>
      </c>
      <c r="E26" s="43">
        <v>24</v>
      </c>
      <c r="F26" s="43">
        <v>24</v>
      </c>
      <c r="G26" s="43"/>
      <c r="H26" s="43"/>
      <c r="I26" s="43">
        <v>24</v>
      </c>
      <c r="J26" s="43">
        <v>24</v>
      </c>
      <c r="K26" s="43"/>
      <c r="L26" s="43"/>
      <c r="M26" s="43"/>
      <c r="N26" s="43"/>
      <c r="O26" s="43"/>
      <c r="P26" s="3">
        <v>8</v>
      </c>
    </row>
    <row r="27" spans="1:16" s="4" customFormat="1" ht="15" customHeight="1" x14ac:dyDescent="0.25">
      <c r="A27" s="28">
        <v>9</v>
      </c>
      <c r="B27" s="28" t="s">
        <v>72</v>
      </c>
      <c r="C27" s="46" t="s">
        <v>135</v>
      </c>
      <c r="D27" s="47">
        <v>2</v>
      </c>
      <c r="E27" s="47">
        <v>20</v>
      </c>
      <c r="F27" s="47">
        <v>8</v>
      </c>
      <c r="G27" s="47">
        <v>20</v>
      </c>
      <c r="H27" s="47">
        <v>8</v>
      </c>
      <c r="I27" s="47"/>
      <c r="J27" s="47"/>
      <c r="K27" s="47"/>
      <c r="L27" s="47"/>
      <c r="M27" s="47"/>
      <c r="N27" s="47"/>
      <c r="O27" s="47"/>
      <c r="P27" s="47">
        <v>8</v>
      </c>
    </row>
    <row r="28" spans="1:16" s="4" customFormat="1" ht="15" customHeight="1" x14ac:dyDescent="0.25">
      <c r="A28" s="28">
        <v>10</v>
      </c>
      <c r="B28" s="17" t="s">
        <v>113</v>
      </c>
      <c r="C28" s="18" t="s">
        <v>103</v>
      </c>
      <c r="D28" s="43">
        <v>2</v>
      </c>
      <c r="E28" s="43">
        <v>24</v>
      </c>
      <c r="F28" s="43">
        <v>11</v>
      </c>
      <c r="G28" s="43"/>
      <c r="H28" s="43"/>
      <c r="I28" s="43"/>
      <c r="J28" s="43"/>
      <c r="K28" s="43">
        <v>24</v>
      </c>
      <c r="L28" s="43">
        <v>11</v>
      </c>
      <c r="M28" s="43"/>
      <c r="N28" s="43"/>
      <c r="O28" s="43"/>
      <c r="P28" s="3">
        <v>8</v>
      </c>
    </row>
    <row r="29" spans="1:16" s="4" customFormat="1" ht="15" customHeight="1" x14ac:dyDescent="0.25">
      <c r="A29" s="28">
        <v>11</v>
      </c>
      <c r="B29" s="17" t="s">
        <v>141</v>
      </c>
      <c r="C29" s="18" t="s">
        <v>142</v>
      </c>
      <c r="D29" s="43">
        <v>2</v>
      </c>
      <c r="E29" s="43">
        <v>24</v>
      </c>
      <c r="F29" s="43">
        <v>9</v>
      </c>
      <c r="G29" s="43"/>
      <c r="H29" s="43"/>
      <c r="I29" s="43"/>
      <c r="J29" s="43"/>
      <c r="K29" s="43">
        <v>12</v>
      </c>
      <c r="L29" s="43">
        <v>6</v>
      </c>
      <c r="M29" s="43">
        <v>12</v>
      </c>
      <c r="N29" s="43">
        <v>3</v>
      </c>
      <c r="O29" s="43"/>
      <c r="P29" s="3">
        <v>8</v>
      </c>
    </row>
    <row r="30" spans="1:16" s="4" customFormat="1" ht="15" customHeight="1" x14ac:dyDescent="0.25">
      <c r="A30" s="28">
        <v>12</v>
      </c>
      <c r="B30" s="17" t="s">
        <v>64</v>
      </c>
      <c r="C30" s="18" t="s">
        <v>54</v>
      </c>
      <c r="D30" s="43">
        <v>2</v>
      </c>
      <c r="E30" s="43">
        <v>24</v>
      </c>
      <c r="F30" s="43">
        <v>24</v>
      </c>
      <c r="G30" s="43"/>
      <c r="H30" s="43"/>
      <c r="I30" s="43">
        <v>12</v>
      </c>
      <c r="J30" s="43">
        <v>12</v>
      </c>
      <c r="K30" s="43">
        <v>12</v>
      </c>
      <c r="L30" s="43">
        <v>12</v>
      </c>
      <c r="M30" s="43"/>
      <c r="N30" s="43"/>
      <c r="O30" s="43"/>
      <c r="P30" s="3">
        <v>8</v>
      </c>
    </row>
    <row r="31" spans="1:16" s="4" customFormat="1" ht="15" customHeight="1" x14ac:dyDescent="0.25">
      <c r="A31" s="28">
        <v>13</v>
      </c>
      <c r="B31" s="17" t="s">
        <v>82</v>
      </c>
      <c r="C31" s="18" t="s">
        <v>54</v>
      </c>
      <c r="D31" s="43">
        <v>2</v>
      </c>
      <c r="E31" s="43">
        <v>24</v>
      </c>
      <c r="F31" s="43">
        <v>24</v>
      </c>
      <c r="G31" s="43"/>
      <c r="H31" s="43"/>
      <c r="I31" s="43">
        <v>23</v>
      </c>
      <c r="J31" s="43">
        <v>23</v>
      </c>
      <c r="K31" s="43">
        <v>1</v>
      </c>
      <c r="L31" s="43">
        <v>1</v>
      </c>
      <c r="M31" s="43"/>
      <c r="N31" s="43"/>
      <c r="O31" s="43"/>
      <c r="P31" s="3">
        <v>8</v>
      </c>
    </row>
    <row r="32" spans="1:16" s="4" customFormat="1" ht="15" customHeight="1" x14ac:dyDescent="0.25">
      <c r="A32" s="28">
        <v>14</v>
      </c>
      <c r="B32" s="17" t="s">
        <v>105</v>
      </c>
      <c r="C32" s="18" t="s">
        <v>74</v>
      </c>
      <c r="D32" s="43">
        <v>2</v>
      </c>
      <c r="E32" s="43">
        <v>24</v>
      </c>
      <c r="F32" s="43">
        <v>23</v>
      </c>
      <c r="G32" s="43"/>
      <c r="H32" s="43"/>
      <c r="I32" s="43">
        <v>24</v>
      </c>
      <c r="J32" s="43">
        <v>23</v>
      </c>
      <c r="K32" s="43"/>
      <c r="L32" s="43"/>
      <c r="M32" s="43"/>
      <c r="N32" s="43"/>
      <c r="O32" s="43"/>
      <c r="P32" s="3">
        <v>8</v>
      </c>
    </row>
    <row r="33" spans="1:16" s="4" customFormat="1" ht="15" customHeight="1" x14ac:dyDescent="0.25">
      <c r="A33" s="28">
        <v>15</v>
      </c>
      <c r="B33" s="17" t="s">
        <v>104</v>
      </c>
      <c r="C33" s="18" t="s">
        <v>74</v>
      </c>
      <c r="D33" s="43">
        <v>2</v>
      </c>
      <c r="E33" s="43">
        <v>24</v>
      </c>
      <c r="F33" s="43">
        <v>23</v>
      </c>
      <c r="G33" s="43"/>
      <c r="H33" s="43"/>
      <c r="I33" s="43"/>
      <c r="J33" s="43"/>
      <c r="K33" s="43">
        <v>24</v>
      </c>
      <c r="L33" s="43">
        <v>23</v>
      </c>
      <c r="M33" s="43"/>
      <c r="N33" s="43"/>
      <c r="O33" s="43"/>
      <c r="P33" s="3">
        <v>8</v>
      </c>
    </row>
    <row r="34" spans="1:16" s="4" customFormat="1" ht="15" customHeight="1" x14ac:dyDescent="0.25">
      <c r="A34" s="28">
        <v>16</v>
      </c>
      <c r="B34" s="17" t="s">
        <v>143</v>
      </c>
      <c r="C34" s="18" t="s">
        <v>74</v>
      </c>
      <c r="D34" s="43">
        <v>1</v>
      </c>
      <c r="E34" s="43">
        <v>12</v>
      </c>
      <c r="F34" s="43">
        <v>12</v>
      </c>
      <c r="G34" s="43"/>
      <c r="H34" s="43"/>
      <c r="I34" s="43"/>
      <c r="J34" s="43"/>
      <c r="K34" s="43">
        <v>12</v>
      </c>
      <c r="L34" s="43">
        <v>12</v>
      </c>
      <c r="M34" s="43"/>
      <c r="N34" s="43"/>
      <c r="O34" s="43"/>
      <c r="P34" s="3">
        <v>4</v>
      </c>
    </row>
    <row r="35" spans="1:16" s="4" customFormat="1" ht="15" customHeight="1" x14ac:dyDescent="0.25">
      <c r="A35" s="28">
        <v>17</v>
      </c>
      <c r="B35" s="17" t="s">
        <v>147</v>
      </c>
      <c r="C35" s="18" t="s">
        <v>74</v>
      </c>
      <c r="D35" s="43">
        <v>1</v>
      </c>
      <c r="E35" s="43">
        <v>12</v>
      </c>
      <c r="F35" s="43">
        <v>12</v>
      </c>
      <c r="G35" s="43"/>
      <c r="H35" s="43"/>
      <c r="I35" s="43"/>
      <c r="J35" s="43"/>
      <c r="K35" s="43">
        <v>12</v>
      </c>
      <c r="L35" s="43">
        <v>12</v>
      </c>
      <c r="M35" s="43"/>
      <c r="N35" s="43"/>
      <c r="O35" s="43"/>
      <c r="P35" s="3">
        <v>2</v>
      </c>
    </row>
    <row r="36" spans="1:16" s="4" customFormat="1" ht="15" customHeight="1" x14ac:dyDescent="0.25">
      <c r="A36" s="28">
        <v>18</v>
      </c>
      <c r="B36" s="17" t="s">
        <v>106</v>
      </c>
      <c r="C36" s="18" t="s">
        <v>107</v>
      </c>
      <c r="D36" s="43">
        <v>2</v>
      </c>
      <c r="E36" s="43">
        <v>24</v>
      </c>
      <c r="F36" s="43">
        <v>24</v>
      </c>
      <c r="G36" s="43">
        <v>12</v>
      </c>
      <c r="H36" s="43">
        <v>12</v>
      </c>
      <c r="I36" s="43">
        <v>12</v>
      </c>
      <c r="J36" s="43">
        <v>12</v>
      </c>
      <c r="K36" s="43"/>
      <c r="L36" s="43"/>
      <c r="M36" s="43"/>
      <c r="N36" s="43"/>
      <c r="O36" s="43"/>
      <c r="P36" s="3">
        <v>8</v>
      </c>
    </row>
    <row r="37" spans="1:16" s="4" customFormat="1" ht="15" customHeight="1" x14ac:dyDescent="0.25">
      <c r="A37" s="28">
        <v>19</v>
      </c>
      <c r="B37" s="17" t="s">
        <v>144</v>
      </c>
      <c r="C37" s="18" t="s">
        <v>61</v>
      </c>
      <c r="D37" s="43">
        <v>2</v>
      </c>
      <c r="E37" s="43">
        <v>24</v>
      </c>
      <c r="F37" s="43">
        <v>24</v>
      </c>
      <c r="G37" s="43"/>
      <c r="H37" s="43"/>
      <c r="I37" s="43"/>
      <c r="J37" s="43"/>
      <c r="K37" s="43">
        <v>24</v>
      </c>
      <c r="L37" s="43">
        <v>24</v>
      </c>
      <c r="M37" s="43"/>
      <c r="N37" s="43"/>
      <c r="O37" s="43"/>
      <c r="P37" s="3">
        <v>8</v>
      </c>
    </row>
    <row r="38" spans="1:16" s="4" customFormat="1" ht="15" customHeight="1" x14ac:dyDescent="0.25">
      <c r="A38" s="28">
        <v>20</v>
      </c>
      <c r="B38" s="17" t="s">
        <v>69</v>
      </c>
      <c r="C38" s="18" t="s">
        <v>23</v>
      </c>
      <c r="D38" s="43">
        <v>3</v>
      </c>
      <c r="E38" s="43">
        <v>36</v>
      </c>
      <c r="F38" s="43">
        <v>36</v>
      </c>
      <c r="G38" s="43"/>
      <c r="H38" s="43"/>
      <c r="I38" s="43">
        <v>15</v>
      </c>
      <c r="J38" s="43">
        <v>15</v>
      </c>
      <c r="K38" s="43">
        <v>21</v>
      </c>
      <c r="L38" s="43">
        <v>21</v>
      </c>
      <c r="M38" s="43"/>
      <c r="N38" s="43"/>
      <c r="O38" s="43"/>
      <c r="P38" s="3">
        <v>12</v>
      </c>
    </row>
    <row r="39" spans="1:16" s="4" customFormat="1" ht="15" customHeight="1" x14ac:dyDescent="0.25">
      <c r="A39" s="28">
        <v>21</v>
      </c>
      <c r="B39" s="17" t="s">
        <v>70</v>
      </c>
      <c r="C39" s="18" t="s">
        <v>23</v>
      </c>
      <c r="D39" s="43">
        <v>2</v>
      </c>
      <c r="E39" s="43">
        <v>24</v>
      </c>
      <c r="F39" s="43">
        <v>24</v>
      </c>
      <c r="G39" s="43"/>
      <c r="H39" s="43"/>
      <c r="I39" s="43"/>
      <c r="J39" s="43"/>
      <c r="K39" s="43">
        <v>24</v>
      </c>
      <c r="L39" s="43">
        <v>24</v>
      </c>
      <c r="M39" s="43"/>
      <c r="N39" s="43"/>
      <c r="O39" s="43"/>
      <c r="P39" s="3">
        <v>8</v>
      </c>
    </row>
    <row r="40" spans="1:16" s="4" customFormat="1" ht="15" customHeight="1" x14ac:dyDescent="0.25">
      <c r="A40" s="28">
        <v>22</v>
      </c>
      <c r="B40" s="17" t="s">
        <v>145</v>
      </c>
      <c r="C40" s="18" t="s">
        <v>23</v>
      </c>
      <c r="D40" s="43">
        <v>1</v>
      </c>
      <c r="E40" s="43">
        <v>12</v>
      </c>
      <c r="F40" s="43">
        <v>12</v>
      </c>
      <c r="G40" s="43"/>
      <c r="H40" s="43"/>
      <c r="I40" s="43"/>
      <c r="J40" s="43"/>
      <c r="K40" s="43">
        <v>12</v>
      </c>
      <c r="L40" s="43">
        <v>12</v>
      </c>
      <c r="M40" s="43"/>
      <c r="N40" s="43"/>
      <c r="O40" s="43"/>
      <c r="P40" s="3">
        <v>4</v>
      </c>
    </row>
    <row r="41" spans="1:16" s="4" customFormat="1" ht="15" customHeight="1" x14ac:dyDescent="0.25">
      <c r="A41" s="28">
        <v>23</v>
      </c>
      <c r="B41" s="17" t="s">
        <v>146</v>
      </c>
      <c r="C41" s="18" t="s">
        <v>23</v>
      </c>
      <c r="D41" s="43">
        <v>1</v>
      </c>
      <c r="E41" s="43">
        <v>12</v>
      </c>
      <c r="F41" s="43">
        <v>12</v>
      </c>
      <c r="G41" s="43"/>
      <c r="H41" s="43"/>
      <c r="I41" s="43"/>
      <c r="J41" s="43"/>
      <c r="K41" s="43">
        <v>12</v>
      </c>
      <c r="L41" s="43">
        <v>12</v>
      </c>
      <c r="M41" s="43"/>
      <c r="N41" s="43"/>
      <c r="O41" s="43"/>
      <c r="P41" s="3">
        <v>2</v>
      </c>
    </row>
    <row r="42" spans="1:16" s="4" customFormat="1" ht="15" customHeight="1" x14ac:dyDescent="0.25">
      <c r="A42" s="28">
        <v>24</v>
      </c>
      <c r="B42" s="17" t="s">
        <v>60</v>
      </c>
      <c r="C42" s="18" t="s">
        <v>109</v>
      </c>
      <c r="D42" s="43">
        <v>2</v>
      </c>
      <c r="E42" s="43">
        <v>24</v>
      </c>
      <c r="F42" s="43">
        <v>21</v>
      </c>
      <c r="G42" s="43"/>
      <c r="H42" s="43"/>
      <c r="I42" s="43">
        <v>12</v>
      </c>
      <c r="J42" s="43">
        <v>10</v>
      </c>
      <c r="K42" s="43">
        <v>12</v>
      </c>
      <c r="L42" s="43">
        <v>11</v>
      </c>
      <c r="M42" s="43"/>
      <c r="N42" s="43"/>
      <c r="O42" s="43"/>
      <c r="P42" s="3">
        <v>8</v>
      </c>
    </row>
    <row r="43" spans="1:16" s="4" customFormat="1" ht="15" customHeight="1" x14ac:dyDescent="0.25">
      <c r="A43" s="28">
        <v>25</v>
      </c>
      <c r="B43" s="17" t="s">
        <v>148</v>
      </c>
      <c r="C43" s="18" t="s">
        <v>37</v>
      </c>
      <c r="D43" s="43">
        <v>3</v>
      </c>
      <c r="E43" s="43">
        <v>36</v>
      </c>
      <c r="F43" s="43">
        <v>34</v>
      </c>
      <c r="G43" s="43"/>
      <c r="H43" s="43"/>
      <c r="I43" s="43">
        <v>35</v>
      </c>
      <c r="J43" s="43">
        <v>33</v>
      </c>
      <c r="K43" s="43">
        <v>1</v>
      </c>
      <c r="L43" s="43">
        <v>1</v>
      </c>
      <c r="M43" s="43"/>
      <c r="N43" s="43"/>
      <c r="O43" s="43"/>
      <c r="P43" s="3">
        <v>12</v>
      </c>
    </row>
    <row r="44" spans="1:16" s="4" customFormat="1" ht="15" customHeight="1" x14ac:dyDescent="0.25">
      <c r="A44" s="28">
        <v>26</v>
      </c>
      <c r="B44" s="17" t="s">
        <v>149</v>
      </c>
      <c r="C44" s="18" t="s">
        <v>37</v>
      </c>
      <c r="D44" s="43">
        <v>3</v>
      </c>
      <c r="E44" s="43">
        <v>24</v>
      </c>
      <c r="F44" s="43">
        <v>11</v>
      </c>
      <c r="G44" s="43"/>
      <c r="H44" s="43"/>
      <c r="I44" s="43">
        <v>24</v>
      </c>
      <c r="J44" s="43">
        <v>11</v>
      </c>
      <c r="K44" s="43"/>
      <c r="L44" s="43"/>
      <c r="M44" s="43"/>
      <c r="N44" s="43"/>
      <c r="O44" s="43"/>
      <c r="P44" s="3">
        <v>4</v>
      </c>
    </row>
    <row r="45" spans="1:16" s="4" customFormat="1" ht="15" customHeight="1" x14ac:dyDescent="0.25">
      <c r="A45" s="28">
        <v>27</v>
      </c>
      <c r="B45" s="17" t="s">
        <v>151</v>
      </c>
      <c r="C45" s="18" t="s">
        <v>150</v>
      </c>
      <c r="D45" s="43">
        <v>3</v>
      </c>
      <c r="E45" s="43">
        <v>36</v>
      </c>
      <c r="F45" s="43">
        <v>36</v>
      </c>
      <c r="G45" s="43"/>
      <c r="H45" s="43"/>
      <c r="I45" s="43">
        <v>12</v>
      </c>
      <c r="J45" s="43">
        <v>12</v>
      </c>
      <c r="K45" s="43">
        <v>24</v>
      </c>
      <c r="L45" s="43">
        <v>24</v>
      </c>
      <c r="M45" s="43"/>
      <c r="N45" s="43"/>
      <c r="O45" s="43"/>
      <c r="P45" s="3">
        <v>12</v>
      </c>
    </row>
    <row r="46" spans="1:16" s="4" customFormat="1" ht="15" customHeight="1" x14ac:dyDescent="0.25">
      <c r="A46" s="28">
        <v>28</v>
      </c>
      <c r="B46" s="17" t="s">
        <v>152</v>
      </c>
      <c r="C46" s="18" t="s">
        <v>150</v>
      </c>
      <c r="D46" s="43">
        <v>3</v>
      </c>
      <c r="E46" s="43">
        <v>24</v>
      </c>
      <c r="F46" s="43">
        <v>22</v>
      </c>
      <c r="G46" s="43"/>
      <c r="H46" s="43"/>
      <c r="I46" s="43"/>
      <c r="J46" s="43"/>
      <c r="K46" s="43">
        <v>24</v>
      </c>
      <c r="L46" s="43">
        <v>22</v>
      </c>
      <c r="M46" s="43"/>
      <c r="N46" s="43"/>
      <c r="O46" s="43"/>
      <c r="P46" s="3">
        <v>12</v>
      </c>
    </row>
    <row r="47" spans="1:16" s="4" customFormat="1" ht="15" customHeight="1" x14ac:dyDescent="0.25">
      <c r="A47" s="28">
        <v>29</v>
      </c>
      <c r="B47" s="17" t="s">
        <v>73</v>
      </c>
      <c r="C47" s="18" t="s">
        <v>155</v>
      </c>
      <c r="D47" s="43">
        <v>1</v>
      </c>
      <c r="E47" s="43">
        <v>12</v>
      </c>
      <c r="F47" s="43">
        <v>12</v>
      </c>
      <c r="G47" s="43"/>
      <c r="H47" s="43"/>
      <c r="I47" s="43">
        <v>12</v>
      </c>
      <c r="J47" s="43">
        <v>12</v>
      </c>
      <c r="K47" s="43"/>
      <c r="L47" s="43"/>
      <c r="M47" s="43"/>
      <c r="N47" s="43"/>
      <c r="O47" s="43"/>
      <c r="P47" s="3">
        <v>4</v>
      </c>
    </row>
    <row r="48" spans="1:16" s="4" customFormat="1" ht="15" customHeight="1" x14ac:dyDescent="0.25">
      <c r="A48" s="28">
        <v>30</v>
      </c>
      <c r="B48" s="17" t="s">
        <v>153</v>
      </c>
      <c r="C48" s="18" t="s">
        <v>155</v>
      </c>
      <c r="D48" s="43">
        <v>2</v>
      </c>
      <c r="E48" s="43">
        <v>22</v>
      </c>
      <c r="F48" s="43">
        <v>22</v>
      </c>
      <c r="G48" s="43"/>
      <c r="H48" s="43"/>
      <c r="I48" s="43">
        <v>22</v>
      </c>
      <c r="J48" s="43">
        <v>22</v>
      </c>
      <c r="K48" s="43"/>
      <c r="L48" s="43"/>
      <c r="M48" s="43"/>
      <c r="N48" s="43"/>
      <c r="O48" s="43"/>
      <c r="P48" s="3">
        <v>4</v>
      </c>
    </row>
    <row r="49" spans="1:16" s="4" customFormat="1" ht="15" customHeight="1" x14ac:dyDescent="0.25">
      <c r="A49" s="28">
        <v>31</v>
      </c>
      <c r="B49" s="17" t="s">
        <v>154</v>
      </c>
      <c r="C49" s="18" t="s">
        <v>155</v>
      </c>
      <c r="D49" s="43">
        <v>2</v>
      </c>
      <c r="E49" s="43">
        <v>24</v>
      </c>
      <c r="F49" s="43">
        <v>24</v>
      </c>
      <c r="G49" s="43"/>
      <c r="H49" s="43"/>
      <c r="I49" s="43">
        <v>24</v>
      </c>
      <c r="J49" s="43">
        <v>24</v>
      </c>
      <c r="K49" s="43"/>
      <c r="L49" s="43"/>
      <c r="M49" s="43"/>
      <c r="N49" s="43"/>
      <c r="O49" s="43"/>
      <c r="P49" s="3">
        <v>4</v>
      </c>
    </row>
    <row r="50" spans="1:16" s="4" customFormat="1" ht="15" customHeight="1" x14ac:dyDescent="0.25">
      <c r="A50" s="28">
        <v>32</v>
      </c>
      <c r="B50" s="17" t="s">
        <v>114</v>
      </c>
      <c r="C50" s="18" t="s">
        <v>138</v>
      </c>
      <c r="D50" s="43">
        <v>2</v>
      </c>
      <c r="E50" s="43">
        <v>24</v>
      </c>
      <c r="F50" s="43">
        <v>23</v>
      </c>
      <c r="G50" s="43"/>
      <c r="H50" s="43"/>
      <c r="I50" s="43"/>
      <c r="J50" s="43"/>
      <c r="K50" s="43">
        <v>24</v>
      </c>
      <c r="L50" s="43">
        <v>23</v>
      </c>
      <c r="M50" s="43"/>
      <c r="N50" s="43"/>
      <c r="O50" s="43"/>
      <c r="P50" s="3">
        <v>8</v>
      </c>
    </row>
    <row r="51" spans="1:16" s="4" customFormat="1" ht="15" customHeight="1" x14ac:dyDescent="0.25">
      <c r="A51" s="28">
        <v>33</v>
      </c>
      <c r="B51" s="17" t="s">
        <v>139</v>
      </c>
      <c r="C51" s="18" t="s">
        <v>138</v>
      </c>
      <c r="D51" s="43">
        <v>1</v>
      </c>
      <c r="E51" s="43">
        <v>12</v>
      </c>
      <c r="F51" s="43">
        <v>11</v>
      </c>
      <c r="G51" s="43"/>
      <c r="H51" s="43"/>
      <c r="I51" s="43"/>
      <c r="J51" s="43"/>
      <c r="K51" s="43">
        <v>12</v>
      </c>
      <c r="L51" s="43">
        <v>11</v>
      </c>
      <c r="M51" s="43"/>
      <c r="N51" s="43"/>
      <c r="O51" s="43"/>
      <c r="P51" s="3">
        <v>4</v>
      </c>
    </row>
    <row r="52" spans="1:16" s="4" customFormat="1" ht="15" customHeight="1" x14ac:dyDescent="0.25">
      <c r="A52" s="28">
        <v>34</v>
      </c>
      <c r="B52" s="17" t="s">
        <v>140</v>
      </c>
      <c r="C52" s="18" t="s">
        <v>138</v>
      </c>
      <c r="D52" s="43">
        <v>1</v>
      </c>
      <c r="E52" s="43">
        <v>12</v>
      </c>
      <c r="F52" s="43">
        <v>11</v>
      </c>
      <c r="G52" s="43"/>
      <c r="H52" s="43"/>
      <c r="I52" s="43"/>
      <c r="J52" s="43"/>
      <c r="K52" s="43">
        <v>12</v>
      </c>
      <c r="L52" s="43">
        <v>11</v>
      </c>
      <c r="M52" s="43"/>
      <c r="N52" s="43"/>
      <c r="O52" s="43"/>
      <c r="P52" s="3">
        <v>4</v>
      </c>
    </row>
    <row r="53" spans="1:16" s="4" customFormat="1" ht="15" customHeight="1" x14ac:dyDescent="0.25">
      <c r="A53" s="28">
        <v>35</v>
      </c>
      <c r="B53" s="28" t="s">
        <v>72</v>
      </c>
      <c r="C53" s="46" t="s">
        <v>111</v>
      </c>
      <c r="D53" s="47">
        <v>1</v>
      </c>
      <c r="E53" s="47">
        <v>12</v>
      </c>
      <c r="F53" s="47">
        <v>12</v>
      </c>
      <c r="G53" s="47">
        <v>12</v>
      </c>
      <c r="H53" s="47">
        <v>12</v>
      </c>
      <c r="I53" s="47"/>
      <c r="J53" s="47"/>
      <c r="K53" s="47"/>
      <c r="L53" s="47"/>
      <c r="M53" s="47"/>
      <c r="N53" s="47"/>
      <c r="O53" s="47"/>
      <c r="P53" s="47">
        <v>4</v>
      </c>
    </row>
    <row r="54" spans="1:16" s="4" customFormat="1" ht="15" customHeight="1" x14ac:dyDescent="0.25">
      <c r="A54" s="28">
        <v>36</v>
      </c>
      <c r="B54" s="17" t="s">
        <v>110</v>
      </c>
      <c r="C54" s="18" t="s">
        <v>111</v>
      </c>
      <c r="D54" s="43">
        <v>2</v>
      </c>
      <c r="E54" s="43">
        <v>24</v>
      </c>
      <c r="F54" s="43">
        <v>24</v>
      </c>
      <c r="G54" s="43"/>
      <c r="H54" s="43"/>
      <c r="I54" s="43"/>
      <c r="J54" s="43"/>
      <c r="K54" s="43">
        <v>24</v>
      </c>
      <c r="L54" s="43">
        <v>24</v>
      </c>
      <c r="M54" s="43"/>
      <c r="N54" s="43"/>
      <c r="O54" s="43"/>
      <c r="P54" s="3">
        <v>8</v>
      </c>
    </row>
    <row r="55" spans="1:16" s="4" customFormat="1" ht="15" customHeight="1" x14ac:dyDescent="0.25">
      <c r="A55" s="28">
        <v>37</v>
      </c>
      <c r="B55" s="17" t="s">
        <v>144</v>
      </c>
      <c r="C55" s="18" t="s">
        <v>108</v>
      </c>
      <c r="D55" s="43">
        <v>4</v>
      </c>
      <c r="E55" s="43">
        <v>48</v>
      </c>
      <c r="F55" s="43">
        <v>47</v>
      </c>
      <c r="G55" s="43"/>
      <c r="H55" s="43"/>
      <c r="I55" s="43"/>
      <c r="J55" s="43"/>
      <c r="K55" s="43">
        <v>48</v>
      </c>
      <c r="L55" s="43">
        <v>47</v>
      </c>
      <c r="M55" s="43"/>
      <c r="N55" s="43"/>
      <c r="O55" s="43"/>
      <c r="P55" s="3">
        <v>16</v>
      </c>
    </row>
    <row r="56" spans="1:16" s="22" customFormat="1" ht="15" customHeight="1" x14ac:dyDescent="0.25">
      <c r="A56" s="32"/>
      <c r="B56" s="23" t="s">
        <v>35</v>
      </c>
      <c r="C56" s="20"/>
      <c r="D56" s="21">
        <f t="shared" ref="D56:P56" si="1">SUM(D19:D55)</f>
        <v>79</v>
      </c>
      <c r="E56" s="21">
        <f t="shared" si="1"/>
        <v>918</v>
      </c>
      <c r="F56" s="21">
        <f t="shared" si="1"/>
        <v>818</v>
      </c>
      <c r="G56" s="21">
        <f t="shared" si="1"/>
        <v>44</v>
      </c>
      <c r="H56" s="21">
        <f t="shared" si="1"/>
        <v>32</v>
      </c>
      <c r="I56" s="21">
        <f t="shared" si="1"/>
        <v>378</v>
      </c>
      <c r="J56" s="21">
        <f t="shared" si="1"/>
        <v>349</v>
      </c>
      <c r="K56" s="21">
        <f t="shared" si="1"/>
        <v>471</v>
      </c>
      <c r="L56" s="21">
        <f t="shared" si="1"/>
        <v>422</v>
      </c>
      <c r="M56" s="21">
        <f t="shared" si="1"/>
        <v>25</v>
      </c>
      <c r="N56" s="21">
        <f t="shared" si="1"/>
        <v>15</v>
      </c>
      <c r="O56" s="21">
        <f t="shared" si="1"/>
        <v>0</v>
      </c>
      <c r="P56" s="21">
        <f t="shared" si="1"/>
        <v>296</v>
      </c>
    </row>
    <row r="57" spans="1:16" s="4" customFormat="1" ht="15" customHeight="1" x14ac:dyDescent="0.25">
      <c r="A57" s="60" t="s">
        <v>81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</row>
    <row r="58" spans="1:16" s="4" customFormat="1" ht="15" customHeight="1" x14ac:dyDescent="0.25">
      <c r="A58" s="40">
        <v>1</v>
      </c>
      <c r="B58" s="41" t="s">
        <v>122</v>
      </c>
      <c r="C58" s="40" t="s">
        <v>123</v>
      </c>
      <c r="D58" s="29">
        <v>3</v>
      </c>
      <c r="E58" s="29">
        <v>36</v>
      </c>
      <c r="F58" s="29">
        <v>23</v>
      </c>
      <c r="G58" s="29">
        <v>36</v>
      </c>
      <c r="H58" s="29">
        <v>23</v>
      </c>
      <c r="I58" s="29"/>
      <c r="J58" s="29"/>
      <c r="K58" s="29"/>
      <c r="L58" s="29"/>
      <c r="M58" s="29"/>
      <c r="N58" s="29"/>
      <c r="O58" s="29"/>
      <c r="P58" s="29">
        <v>12</v>
      </c>
    </row>
    <row r="59" spans="1:16" s="4" customFormat="1" ht="15" customHeight="1" x14ac:dyDescent="0.25">
      <c r="A59" s="36">
        <v>2</v>
      </c>
      <c r="B59" s="2" t="s">
        <v>38</v>
      </c>
      <c r="C59" s="2" t="s">
        <v>68</v>
      </c>
      <c r="D59" s="43">
        <v>2</v>
      </c>
      <c r="E59" s="3">
        <v>20</v>
      </c>
      <c r="F59" s="43">
        <v>10</v>
      </c>
      <c r="G59" s="43"/>
      <c r="H59" s="43"/>
      <c r="I59" s="43"/>
      <c r="J59" s="43"/>
      <c r="K59" s="43"/>
      <c r="L59" s="43"/>
      <c r="M59" s="43">
        <v>10</v>
      </c>
      <c r="N59" s="43">
        <v>10</v>
      </c>
      <c r="O59" s="43">
        <v>10</v>
      </c>
      <c r="P59" s="3">
        <v>8</v>
      </c>
    </row>
    <row r="60" spans="1:16" s="4" customFormat="1" ht="15" customHeight="1" x14ac:dyDescent="0.25">
      <c r="A60" s="40">
        <v>3</v>
      </c>
      <c r="B60" s="41" t="s">
        <v>48</v>
      </c>
      <c r="C60" s="40" t="s">
        <v>159</v>
      </c>
      <c r="D60" s="29">
        <v>3</v>
      </c>
      <c r="E60" s="29">
        <v>36</v>
      </c>
      <c r="F60" s="29">
        <v>30</v>
      </c>
      <c r="G60" s="29">
        <v>36</v>
      </c>
      <c r="H60" s="29">
        <v>30</v>
      </c>
      <c r="I60" s="29"/>
      <c r="J60" s="29"/>
      <c r="K60" s="29"/>
      <c r="L60" s="29"/>
      <c r="M60" s="29"/>
      <c r="N60" s="29"/>
      <c r="O60" s="29"/>
      <c r="P60" s="29">
        <v>12</v>
      </c>
    </row>
    <row r="61" spans="1:16" s="4" customFormat="1" ht="15" customHeight="1" x14ac:dyDescent="0.25">
      <c r="A61" s="40">
        <v>4</v>
      </c>
      <c r="B61" s="5" t="s">
        <v>48</v>
      </c>
      <c r="C61" s="5" t="s">
        <v>53</v>
      </c>
      <c r="D61" s="43">
        <v>2</v>
      </c>
      <c r="E61" s="43">
        <v>20</v>
      </c>
      <c r="F61" s="43">
        <v>8</v>
      </c>
      <c r="G61" s="43">
        <v>20</v>
      </c>
      <c r="H61" s="43">
        <v>8</v>
      </c>
      <c r="I61" s="43"/>
      <c r="J61" s="43"/>
      <c r="K61" s="43"/>
      <c r="L61" s="43"/>
      <c r="M61" s="43"/>
      <c r="N61" s="43"/>
      <c r="O61" s="43"/>
      <c r="P61" s="43">
        <v>6</v>
      </c>
    </row>
    <row r="62" spans="1:16" s="4" customFormat="1" ht="15" customHeight="1" x14ac:dyDescent="0.25">
      <c r="A62" s="36">
        <v>5</v>
      </c>
      <c r="B62" s="24" t="s">
        <v>96</v>
      </c>
      <c r="C62" s="18" t="s">
        <v>97</v>
      </c>
      <c r="D62" s="43">
        <v>3</v>
      </c>
      <c r="E62" s="3">
        <v>36</v>
      </c>
      <c r="F62" s="43">
        <v>27</v>
      </c>
      <c r="G62" s="43"/>
      <c r="H62" s="43"/>
      <c r="I62" s="43">
        <v>36</v>
      </c>
      <c r="J62" s="43">
        <v>27</v>
      </c>
      <c r="K62" s="43"/>
      <c r="L62" s="43"/>
      <c r="M62" s="43"/>
      <c r="N62" s="43"/>
      <c r="O62" s="43"/>
      <c r="P62" s="43">
        <v>12</v>
      </c>
    </row>
    <row r="63" spans="1:16" s="4" customFormat="1" ht="15" customHeight="1" x14ac:dyDescent="0.25">
      <c r="A63" s="40">
        <v>6</v>
      </c>
      <c r="B63" s="24" t="s">
        <v>160</v>
      </c>
      <c r="C63" s="18" t="s">
        <v>161</v>
      </c>
      <c r="D63" s="43">
        <v>1</v>
      </c>
      <c r="E63" s="3">
        <v>12</v>
      </c>
      <c r="F63" s="43">
        <v>6</v>
      </c>
      <c r="G63" s="43"/>
      <c r="H63" s="43"/>
      <c r="I63" s="43">
        <v>12</v>
      </c>
      <c r="J63" s="43">
        <v>6</v>
      </c>
      <c r="K63" s="43"/>
      <c r="L63" s="43"/>
      <c r="M63" s="43"/>
      <c r="N63" s="43"/>
      <c r="O63" s="43"/>
      <c r="P63" s="43">
        <v>4</v>
      </c>
    </row>
    <row r="64" spans="1:16" s="4" customFormat="1" ht="15" customHeight="1" x14ac:dyDescent="0.25">
      <c r="A64" s="40">
        <v>7</v>
      </c>
      <c r="B64" s="17" t="s">
        <v>95</v>
      </c>
      <c r="C64" s="2" t="s">
        <v>115</v>
      </c>
      <c r="D64" s="43">
        <v>4</v>
      </c>
      <c r="E64" s="3">
        <v>48</v>
      </c>
      <c r="F64" s="43">
        <v>40</v>
      </c>
      <c r="G64" s="43"/>
      <c r="H64" s="43"/>
      <c r="I64" s="43">
        <v>12</v>
      </c>
      <c r="J64" s="43">
        <v>10</v>
      </c>
      <c r="K64" s="43">
        <v>24</v>
      </c>
      <c r="L64" s="43">
        <v>20</v>
      </c>
      <c r="M64" s="43">
        <v>12</v>
      </c>
      <c r="N64" s="43">
        <v>10</v>
      </c>
      <c r="O64" s="43"/>
      <c r="P64" s="43">
        <v>16</v>
      </c>
    </row>
    <row r="65" spans="1:16" s="4" customFormat="1" ht="15" customHeight="1" x14ac:dyDescent="0.25">
      <c r="A65" s="36">
        <v>8</v>
      </c>
      <c r="B65" s="24" t="s">
        <v>94</v>
      </c>
      <c r="C65" s="18" t="s">
        <v>162</v>
      </c>
      <c r="D65" s="43">
        <v>2</v>
      </c>
      <c r="E65" s="3">
        <v>24</v>
      </c>
      <c r="F65" s="43">
        <v>20</v>
      </c>
      <c r="G65" s="43"/>
      <c r="H65" s="43"/>
      <c r="I65" s="43"/>
      <c r="J65" s="43"/>
      <c r="K65" s="43">
        <v>12</v>
      </c>
      <c r="L65" s="43">
        <v>10</v>
      </c>
      <c r="M65" s="43">
        <v>12</v>
      </c>
      <c r="N65" s="43">
        <v>10</v>
      </c>
      <c r="O65" s="43"/>
      <c r="P65" s="43">
        <v>8</v>
      </c>
    </row>
    <row r="66" spans="1:16" s="4" customFormat="1" ht="15" customHeight="1" x14ac:dyDescent="0.25">
      <c r="A66" s="40">
        <v>9</v>
      </c>
      <c r="B66" s="17" t="s">
        <v>56</v>
      </c>
      <c r="C66" s="2" t="s">
        <v>80</v>
      </c>
      <c r="D66" s="43">
        <v>2</v>
      </c>
      <c r="E66" s="43">
        <v>24</v>
      </c>
      <c r="F66" s="43">
        <v>23</v>
      </c>
      <c r="G66" s="43"/>
      <c r="H66" s="43"/>
      <c r="I66" s="19">
        <v>12</v>
      </c>
      <c r="J66" s="43">
        <v>11</v>
      </c>
      <c r="K66" s="43">
        <v>12</v>
      </c>
      <c r="L66" s="43">
        <v>12</v>
      </c>
      <c r="M66" s="43"/>
      <c r="N66" s="43"/>
      <c r="O66" s="43"/>
      <c r="P66" s="3">
        <v>8</v>
      </c>
    </row>
    <row r="67" spans="1:16" s="4" customFormat="1" ht="15" customHeight="1" x14ac:dyDescent="0.25">
      <c r="A67" s="40">
        <v>10</v>
      </c>
      <c r="B67" s="25" t="s">
        <v>62</v>
      </c>
      <c r="C67" s="2" t="s">
        <v>80</v>
      </c>
      <c r="D67" s="43">
        <v>1</v>
      </c>
      <c r="E67" s="43">
        <v>10</v>
      </c>
      <c r="F67" s="43">
        <v>8</v>
      </c>
      <c r="G67" s="43">
        <v>10</v>
      </c>
      <c r="H67" s="43">
        <v>8</v>
      </c>
      <c r="I67" s="19"/>
      <c r="J67" s="43"/>
      <c r="K67" s="43"/>
      <c r="L67" s="43"/>
      <c r="M67" s="43"/>
      <c r="N67" s="43"/>
      <c r="O67" s="43"/>
      <c r="P67" s="3">
        <v>4</v>
      </c>
    </row>
    <row r="68" spans="1:16" s="4" customFormat="1" ht="15" customHeight="1" x14ac:dyDescent="0.25">
      <c r="A68" s="36">
        <v>11</v>
      </c>
      <c r="B68" s="17" t="s">
        <v>49</v>
      </c>
      <c r="C68" s="2" t="s">
        <v>25</v>
      </c>
      <c r="D68" s="43">
        <v>5</v>
      </c>
      <c r="E68" s="3">
        <v>50</v>
      </c>
      <c r="F68" s="43">
        <v>42</v>
      </c>
      <c r="G68" s="43"/>
      <c r="H68" s="43"/>
      <c r="I68" s="43"/>
      <c r="J68" s="43"/>
      <c r="K68" s="43">
        <v>42</v>
      </c>
      <c r="L68" s="43">
        <v>34</v>
      </c>
      <c r="M68" s="43">
        <v>8</v>
      </c>
      <c r="N68" s="43">
        <v>8</v>
      </c>
      <c r="O68" s="43"/>
      <c r="P68" s="43">
        <v>18</v>
      </c>
    </row>
    <row r="69" spans="1:16" s="4" customFormat="1" ht="15" customHeight="1" x14ac:dyDescent="0.25">
      <c r="A69" s="40">
        <v>12</v>
      </c>
      <c r="B69" s="17" t="s">
        <v>55</v>
      </c>
      <c r="C69" s="2" t="s">
        <v>26</v>
      </c>
      <c r="D69" s="43">
        <v>5</v>
      </c>
      <c r="E69" s="43">
        <v>50</v>
      </c>
      <c r="F69" s="43">
        <v>46</v>
      </c>
      <c r="G69" s="43"/>
      <c r="H69" s="43"/>
      <c r="I69" s="19">
        <v>30</v>
      </c>
      <c r="J69" s="43">
        <v>26</v>
      </c>
      <c r="K69" s="43">
        <v>20</v>
      </c>
      <c r="L69" s="43">
        <v>20</v>
      </c>
      <c r="M69" s="43"/>
      <c r="N69" s="43"/>
      <c r="O69" s="43"/>
      <c r="P69" s="3">
        <v>18</v>
      </c>
    </row>
    <row r="70" spans="1:16" s="5" customFormat="1" ht="15" customHeight="1" x14ac:dyDescent="0.25">
      <c r="A70" s="2"/>
      <c r="B70" s="23" t="s">
        <v>35</v>
      </c>
      <c r="C70" s="18"/>
      <c r="D70" s="43">
        <f t="shared" ref="D70:P70" si="2">SUM(D58:D69)</f>
        <v>33</v>
      </c>
      <c r="E70" s="3">
        <f t="shared" si="2"/>
        <v>366</v>
      </c>
      <c r="F70" s="43">
        <f t="shared" si="2"/>
        <v>283</v>
      </c>
      <c r="G70" s="3">
        <f t="shared" si="2"/>
        <v>102</v>
      </c>
      <c r="H70" s="43">
        <f t="shared" si="2"/>
        <v>69</v>
      </c>
      <c r="I70" s="3">
        <f t="shared" si="2"/>
        <v>102</v>
      </c>
      <c r="J70" s="43">
        <f t="shared" si="2"/>
        <v>80</v>
      </c>
      <c r="K70" s="3">
        <f t="shared" si="2"/>
        <v>110</v>
      </c>
      <c r="L70" s="43">
        <f t="shared" si="2"/>
        <v>96</v>
      </c>
      <c r="M70" s="3">
        <f t="shared" si="2"/>
        <v>42</v>
      </c>
      <c r="N70" s="43">
        <f t="shared" si="2"/>
        <v>38</v>
      </c>
      <c r="O70" s="3">
        <f t="shared" si="2"/>
        <v>10</v>
      </c>
      <c r="P70" s="43">
        <f t="shared" si="2"/>
        <v>126</v>
      </c>
    </row>
    <row r="71" spans="1:16" s="4" customFormat="1" ht="15" customHeight="1" x14ac:dyDescent="0.25">
      <c r="A71" s="64" t="s">
        <v>34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6"/>
    </row>
    <row r="72" spans="1:16" s="4" customFormat="1" ht="15" customHeight="1" x14ac:dyDescent="0.25">
      <c r="A72" s="2">
        <v>1</v>
      </c>
      <c r="B72" s="28" t="s">
        <v>41</v>
      </c>
      <c r="C72" s="28" t="s">
        <v>40</v>
      </c>
      <c r="D72" s="29">
        <v>1</v>
      </c>
      <c r="E72" s="29">
        <v>19</v>
      </c>
      <c r="F72" s="29">
        <v>18</v>
      </c>
      <c r="G72" s="29"/>
      <c r="H72" s="29"/>
      <c r="I72" s="29">
        <v>4</v>
      </c>
      <c r="J72" s="29">
        <v>4</v>
      </c>
      <c r="K72" s="29">
        <v>13</v>
      </c>
      <c r="L72" s="29">
        <v>12</v>
      </c>
      <c r="M72" s="29">
        <v>2</v>
      </c>
      <c r="N72" s="29">
        <v>2</v>
      </c>
      <c r="O72" s="29"/>
      <c r="P72" s="29">
        <v>11</v>
      </c>
    </row>
    <row r="73" spans="1:16" s="4" customFormat="1" ht="15" customHeight="1" x14ac:dyDescent="0.25">
      <c r="A73" s="2">
        <v>2</v>
      </c>
      <c r="B73" s="28" t="s">
        <v>41</v>
      </c>
      <c r="C73" s="2" t="s">
        <v>168</v>
      </c>
      <c r="D73" s="43">
        <v>2</v>
      </c>
      <c r="E73" s="43">
        <v>24</v>
      </c>
      <c r="F73" s="43">
        <v>12</v>
      </c>
      <c r="G73" s="43">
        <v>12</v>
      </c>
      <c r="H73" s="43">
        <v>6</v>
      </c>
      <c r="I73" s="43">
        <v>12</v>
      </c>
      <c r="J73" s="43">
        <v>6</v>
      </c>
      <c r="K73" s="43"/>
      <c r="L73" s="43"/>
      <c r="M73" s="43"/>
      <c r="N73" s="43"/>
      <c r="O73" s="43"/>
      <c r="P73" s="3">
        <v>10</v>
      </c>
    </row>
    <row r="74" spans="1:16" s="4" customFormat="1" ht="15" customHeight="1" x14ac:dyDescent="0.25">
      <c r="A74" s="2">
        <v>3</v>
      </c>
      <c r="B74" s="17" t="s">
        <v>16</v>
      </c>
      <c r="C74" s="39" t="s">
        <v>116</v>
      </c>
      <c r="D74" s="43">
        <v>2</v>
      </c>
      <c r="E74" s="43">
        <v>30</v>
      </c>
      <c r="F74" s="43">
        <v>25</v>
      </c>
      <c r="G74" s="43"/>
      <c r="H74" s="43"/>
      <c r="I74" s="43">
        <v>29</v>
      </c>
      <c r="J74" s="43">
        <v>24</v>
      </c>
      <c r="K74" s="43">
        <v>1</v>
      </c>
      <c r="L74" s="43">
        <v>1</v>
      </c>
      <c r="M74" s="43"/>
      <c r="N74" s="43"/>
      <c r="O74" s="43"/>
      <c r="P74" s="3">
        <v>15</v>
      </c>
    </row>
    <row r="75" spans="1:16" s="4" customFormat="1" ht="15" customHeight="1" x14ac:dyDescent="0.25">
      <c r="A75" s="2">
        <v>4</v>
      </c>
      <c r="B75" s="17" t="s">
        <v>171</v>
      </c>
      <c r="C75" s="39" t="s">
        <v>169</v>
      </c>
      <c r="D75" s="43">
        <v>3</v>
      </c>
      <c r="E75" s="43">
        <v>25</v>
      </c>
      <c r="F75" s="43">
        <v>0</v>
      </c>
      <c r="G75" s="43"/>
      <c r="H75" s="43"/>
      <c r="I75" s="43">
        <v>12</v>
      </c>
      <c r="J75" s="43">
        <v>0</v>
      </c>
      <c r="K75" s="43">
        <v>13</v>
      </c>
      <c r="L75" s="43">
        <v>0</v>
      </c>
      <c r="M75" s="43"/>
      <c r="N75" s="43"/>
      <c r="O75" s="43"/>
      <c r="P75" s="3">
        <v>6</v>
      </c>
    </row>
    <row r="76" spans="1:16" s="4" customFormat="1" ht="15" customHeight="1" x14ac:dyDescent="0.25">
      <c r="A76" s="2">
        <v>5</v>
      </c>
      <c r="B76" s="17" t="s">
        <v>83</v>
      </c>
      <c r="C76" s="18" t="s">
        <v>61</v>
      </c>
      <c r="D76" s="43">
        <v>2</v>
      </c>
      <c r="E76" s="43">
        <v>20</v>
      </c>
      <c r="F76" s="43">
        <v>20</v>
      </c>
      <c r="G76" s="43"/>
      <c r="H76" s="43"/>
      <c r="I76" s="43"/>
      <c r="J76" s="43"/>
      <c r="K76" s="43"/>
      <c r="L76" s="43"/>
      <c r="M76" s="43">
        <v>20</v>
      </c>
      <c r="N76" s="43">
        <v>20</v>
      </c>
      <c r="O76" s="43"/>
      <c r="P76" s="3">
        <v>5</v>
      </c>
    </row>
    <row r="77" spans="1:16" s="4" customFormat="1" ht="15" customHeight="1" x14ac:dyDescent="0.25">
      <c r="A77" s="2">
        <v>6</v>
      </c>
      <c r="B77" s="5" t="s">
        <v>66</v>
      </c>
      <c r="C77" s="5" t="s">
        <v>117</v>
      </c>
      <c r="D77" s="43">
        <v>4</v>
      </c>
      <c r="E77" s="43">
        <v>60</v>
      </c>
      <c r="F77" s="43">
        <v>36</v>
      </c>
      <c r="G77" s="43">
        <v>10</v>
      </c>
      <c r="H77" s="43">
        <v>5</v>
      </c>
      <c r="I77" s="43">
        <v>28</v>
      </c>
      <c r="J77" s="43">
        <v>20</v>
      </c>
      <c r="K77" s="43">
        <v>22</v>
      </c>
      <c r="L77" s="43">
        <v>11</v>
      </c>
      <c r="M77" s="43"/>
      <c r="N77" s="43"/>
      <c r="O77" s="43"/>
      <c r="P77" s="43">
        <v>20</v>
      </c>
    </row>
    <row r="78" spans="1:16" s="4" customFormat="1" ht="15" customHeight="1" x14ac:dyDescent="0.25">
      <c r="A78" s="2">
        <v>7</v>
      </c>
      <c r="B78" s="5" t="s">
        <v>118</v>
      </c>
      <c r="C78" s="5" t="s">
        <v>169</v>
      </c>
      <c r="D78" s="43">
        <v>2</v>
      </c>
      <c r="E78" s="43">
        <v>20</v>
      </c>
      <c r="F78" s="43">
        <v>16</v>
      </c>
      <c r="G78" s="43">
        <v>4</v>
      </c>
      <c r="H78" s="43">
        <v>2</v>
      </c>
      <c r="I78" s="43">
        <v>8</v>
      </c>
      <c r="J78" s="43">
        <v>7</v>
      </c>
      <c r="K78" s="43">
        <v>8</v>
      </c>
      <c r="L78" s="43">
        <v>7</v>
      </c>
      <c r="M78" s="43"/>
      <c r="N78" s="43"/>
      <c r="O78" s="43"/>
      <c r="P78" s="43">
        <v>12</v>
      </c>
    </row>
    <row r="79" spans="1:16" s="4" customFormat="1" ht="15" customHeight="1" x14ac:dyDescent="0.25">
      <c r="A79" s="2">
        <v>8</v>
      </c>
      <c r="B79" s="17" t="s">
        <v>15</v>
      </c>
      <c r="C79" s="2" t="s">
        <v>24</v>
      </c>
      <c r="D79" s="43">
        <v>2</v>
      </c>
      <c r="E79" s="43">
        <v>30</v>
      </c>
      <c r="F79" s="43">
        <v>28</v>
      </c>
      <c r="G79" s="43"/>
      <c r="H79" s="43"/>
      <c r="I79" s="43"/>
      <c r="J79" s="43"/>
      <c r="K79" s="43">
        <v>30</v>
      </c>
      <c r="L79" s="43">
        <v>28</v>
      </c>
      <c r="M79" s="43"/>
      <c r="N79" s="43"/>
      <c r="O79" s="43"/>
      <c r="P79" s="43">
        <v>22</v>
      </c>
    </row>
    <row r="80" spans="1:16" s="22" customFormat="1" ht="15" customHeight="1" x14ac:dyDescent="0.25">
      <c r="A80" s="32"/>
      <c r="B80" s="23" t="s">
        <v>35</v>
      </c>
      <c r="C80" s="20"/>
      <c r="D80" s="21">
        <f t="shared" ref="D80:P80" si="3">SUM(D72:D79)</f>
        <v>18</v>
      </c>
      <c r="E80" s="21">
        <f t="shared" si="3"/>
        <v>228</v>
      </c>
      <c r="F80" s="21">
        <f t="shared" si="3"/>
        <v>155</v>
      </c>
      <c r="G80" s="21">
        <f t="shared" si="3"/>
        <v>26</v>
      </c>
      <c r="H80" s="21">
        <f t="shared" si="3"/>
        <v>13</v>
      </c>
      <c r="I80" s="21">
        <f t="shared" si="3"/>
        <v>93</v>
      </c>
      <c r="J80" s="21">
        <f t="shared" si="3"/>
        <v>61</v>
      </c>
      <c r="K80" s="21">
        <f t="shared" si="3"/>
        <v>87</v>
      </c>
      <c r="L80" s="21">
        <f t="shared" si="3"/>
        <v>59</v>
      </c>
      <c r="M80" s="21">
        <f t="shared" si="3"/>
        <v>22</v>
      </c>
      <c r="N80" s="21">
        <f t="shared" si="3"/>
        <v>22</v>
      </c>
      <c r="O80" s="21">
        <f t="shared" si="3"/>
        <v>0</v>
      </c>
      <c r="P80" s="21">
        <f t="shared" si="3"/>
        <v>101</v>
      </c>
    </row>
    <row r="81" spans="1:16" s="4" customFormat="1" ht="15" customHeight="1" x14ac:dyDescent="0.25">
      <c r="A81" s="60" t="s">
        <v>59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</row>
    <row r="82" spans="1:16" s="4" customFormat="1" ht="15" customHeight="1" x14ac:dyDescent="0.25">
      <c r="A82" s="2">
        <v>1</v>
      </c>
      <c r="B82" s="17" t="s">
        <v>31</v>
      </c>
      <c r="C82" s="18" t="s">
        <v>119</v>
      </c>
      <c r="D82" s="43">
        <v>8</v>
      </c>
      <c r="E82" s="43">
        <v>145</v>
      </c>
      <c r="F82" s="43">
        <v>70</v>
      </c>
      <c r="G82" s="43">
        <v>145</v>
      </c>
      <c r="H82" s="43">
        <v>70</v>
      </c>
      <c r="I82" s="19"/>
      <c r="J82" s="43"/>
      <c r="K82" s="43"/>
      <c r="L82" s="43"/>
      <c r="M82" s="43"/>
      <c r="N82" s="43"/>
      <c r="O82" s="43"/>
      <c r="P82" s="3">
        <v>6</v>
      </c>
    </row>
    <row r="83" spans="1:16" s="4" customFormat="1" ht="15" customHeight="1" x14ac:dyDescent="0.25">
      <c r="A83" s="2">
        <v>2</v>
      </c>
      <c r="B83" s="17" t="s">
        <v>84</v>
      </c>
      <c r="C83" s="18" t="s">
        <v>170</v>
      </c>
      <c r="D83" s="43">
        <v>3</v>
      </c>
      <c r="E83" s="43">
        <v>45</v>
      </c>
      <c r="F83" s="43">
        <v>12</v>
      </c>
      <c r="G83" s="43"/>
      <c r="H83" s="43"/>
      <c r="I83" s="43"/>
      <c r="J83" s="43"/>
      <c r="K83" s="43">
        <v>45</v>
      </c>
      <c r="L83" s="43">
        <v>12</v>
      </c>
      <c r="M83" s="43"/>
      <c r="N83" s="43"/>
      <c r="O83" s="43"/>
      <c r="P83" s="3">
        <v>12</v>
      </c>
    </row>
    <row r="84" spans="1:16" s="4" customFormat="1" ht="15" customHeight="1" x14ac:dyDescent="0.25">
      <c r="A84" s="2">
        <v>3</v>
      </c>
      <c r="B84" s="17" t="s">
        <v>51</v>
      </c>
      <c r="C84" s="18" t="s">
        <v>17</v>
      </c>
      <c r="D84" s="43">
        <v>5</v>
      </c>
      <c r="E84" s="43">
        <v>51</v>
      </c>
      <c r="F84" s="43">
        <v>32</v>
      </c>
      <c r="G84" s="43"/>
      <c r="H84" s="43"/>
      <c r="I84" s="43">
        <v>40</v>
      </c>
      <c r="J84" s="43">
        <v>25</v>
      </c>
      <c r="K84" s="43">
        <v>11</v>
      </c>
      <c r="L84" s="43">
        <v>7</v>
      </c>
      <c r="M84" s="43"/>
      <c r="N84" s="43"/>
      <c r="O84" s="43"/>
      <c r="P84" s="3">
        <v>20</v>
      </c>
    </row>
    <row r="85" spans="1:16" s="4" customFormat="1" ht="15" customHeight="1" x14ac:dyDescent="0.25">
      <c r="A85" s="2">
        <v>4</v>
      </c>
      <c r="B85" s="2" t="s">
        <v>85</v>
      </c>
      <c r="C85" s="18" t="s">
        <v>42</v>
      </c>
      <c r="D85" s="43">
        <v>3</v>
      </c>
      <c r="E85" s="43">
        <v>20</v>
      </c>
      <c r="F85" s="43">
        <v>12</v>
      </c>
      <c r="G85" s="43"/>
      <c r="H85" s="43"/>
      <c r="I85" s="43">
        <v>5</v>
      </c>
      <c r="J85" s="43">
        <v>3</v>
      </c>
      <c r="K85" s="43">
        <v>15</v>
      </c>
      <c r="L85" s="43">
        <v>9</v>
      </c>
      <c r="M85" s="43"/>
      <c r="N85" s="43"/>
      <c r="O85" s="43"/>
      <c r="P85" s="3">
        <v>12</v>
      </c>
    </row>
    <row r="86" spans="1:16" s="4" customFormat="1" ht="15" customHeight="1" x14ac:dyDescent="0.25">
      <c r="A86" s="2">
        <v>5</v>
      </c>
      <c r="B86" s="17" t="s">
        <v>86</v>
      </c>
      <c r="C86" s="2" t="s">
        <v>18</v>
      </c>
      <c r="D86" s="43">
        <v>3</v>
      </c>
      <c r="E86" s="43">
        <v>35</v>
      </c>
      <c r="F86" s="43">
        <v>30</v>
      </c>
      <c r="G86" s="43">
        <v>17</v>
      </c>
      <c r="H86" s="43">
        <v>15</v>
      </c>
      <c r="I86" s="43">
        <v>14</v>
      </c>
      <c r="J86" s="43">
        <v>12</v>
      </c>
      <c r="K86" s="43">
        <v>4</v>
      </c>
      <c r="L86" s="43">
        <v>3</v>
      </c>
      <c r="M86" s="43"/>
      <c r="N86" s="43"/>
      <c r="O86" s="43"/>
      <c r="P86" s="3">
        <v>18</v>
      </c>
    </row>
    <row r="87" spans="1:16" s="4" customFormat="1" ht="15" customHeight="1" x14ac:dyDescent="0.25">
      <c r="A87" s="2">
        <v>6</v>
      </c>
      <c r="B87" s="17" t="s">
        <v>79</v>
      </c>
      <c r="C87" s="2" t="s">
        <v>172</v>
      </c>
      <c r="D87" s="43">
        <v>3</v>
      </c>
      <c r="E87" s="43">
        <v>45</v>
      </c>
      <c r="F87" s="43">
        <v>37</v>
      </c>
      <c r="G87" s="43">
        <v>15</v>
      </c>
      <c r="H87" s="43">
        <v>13</v>
      </c>
      <c r="I87" s="43">
        <v>30</v>
      </c>
      <c r="J87" s="43">
        <v>24</v>
      </c>
      <c r="K87" s="43"/>
      <c r="L87" s="43"/>
      <c r="M87" s="43"/>
      <c r="N87" s="43"/>
      <c r="O87" s="43"/>
      <c r="P87" s="3">
        <v>14</v>
      </c>
    </row>
    <row r="88" spans="1:16" s="4" customFormat="1" ht="15" customHeight="1" x14ac:dyDescent="0.25">
      <c r="A88" s="2">
        <v>7</v>
      </c>
      <c r="B88" s="17" t="s">
        <v>78</v>
      </c>
      <c r="C88" s="2" t="s">
        <v>19</v>
      </c>
      <c r="D88" s="43">
        <v>4</v>
      </c>
      <c r="E88" s="43">
        <v>50</v>
      </c>
      <c r="F88" s="43">
        <v>43</v>
      </c>
      <c r="G88" s="43">
        <v>7</v>
      </c>
      <c r="H88" s="43">
        <v>6</v>
      </c>
      <c r="I88" s="43">
        <v>40</v>
      </c>
      <c r="J88" s="43">
        <v>34</v>
      </c>
      <c r="K88" s="43">
        <v>2</v>
      </c>
      <c r="L88" s="43">
        <v>2</v>
      </c>
      <c r="M88" s="43">
        <v>1</v>
      </c>
      <c r="N88" s="43">
        <v>1</v>
      </c>
      <c r="O88" s="43"/>
      <c r="P88" s="3">
        <v>16</v>
      </c>
    </row>
    <row r="89" spans="1:16" s="4" customFormat="1" ht="15" customHeight="1" x14ac:dyDescent="0.25">
      <c r="A89" s="2">
        <v>8</v>
      </c>
      <c r="B89" s="17" t="s">
        <v>87</v>
      </c>
      <c r="C89" s="2" t="s">
        <v>19</v>
      </c>
      <c r="D89" s="43">
        <v>1</v>
      </c>
      <c r="E89" s="43">
        <v>10</v>
      </c>
      <c r="F89" s="43">
        <v>10</v>
      </c>
      <c r="G89" s="43"/>
      <c r="H89" s="43"/>
      <c r="I89" s="43"/>
      <c r="J89" s="43"/>
      <c r="K89" s="43">
        <v>10</v>
      </c>
      <c r="L89" s="43">
        <v>10</v>
      </c>
      <c r="M89" s="43"/>
      <c r="N89" s="43"/>
      <c r="O89" s="43"/>
      <c r="P89" s="3">
        <v>4</v>
      </c>
    </row>
    <row r="90" spans="1:16" s="4" customFormat="1" ht="15" customHeight="1" x14ac:dyDescent="0.25">
      <c r="A90" s="2">
        <v>9</v>
      </c>
      <c r="B90" s="17" t="s">
        <v>173</v>
      </c>
      <c r="C90" s="2" t="s">
        <v>21</v>
      </c>
      <c r="D90" s="43">
        <v>1</v>
      </c>
      <c r="E90" s="43">
        <v>5</v>
      </c>
      <c r="F90" s="43">
        <v>5</v>
      </c>
      <c r="G90" s="43"/>
      <c r="H90" s="43"/>
      <c r="I90" s="43"/>
      <c r="J90" s="43"/>
      <c r="K90" s="43">
        <v>5</v>
      </c>
      <c r="L90" s="43">
        <v>5</v>
      </c>
      <c r="M90" s="43"/>
      <c r="N90" s="43"/>
      <c r="O90" s="43"/>
      <c r="P90" s="3">
        <v>2</v>
      </c>
    </row>
    <row r="91" spans="1:16" s="4" customFormat="1" ht="15" customHeight="1" x14ac:dyDescent="0.25">
      <c r="A91" s="2">
        <v>10</v>
      </c>
      <c r="B91" s="17" t="s">
        <v>174</v>
      </c>
      <c r="C91" s="2" t="s">
        <v>175</v>
      </c>
      <c r="D91" s="43">
        <v>4</v>
      </c>
      <c r="E91" s="43">
        <v>40</v>
      </c>
      <c r="F91" s="43">
        <v>20</v>
      </c>
      <c r="G91" s="43"/>
      <c r="H91" s="43"/>
      <c r="I91" s="43">
        <v>19</v>
      </c>
      <c r="J91" s="43">
        <v>10</v>
      </c>
      <c r="K91" s="43">
        <v>19</v>
      </c>
      <c r="L91" s="43">
        <v>10</v>
      </c>
      <c r="M91" s="43">
        <v>2</v>
      </c>
      <c r="N91" s="43">
        <v>0</v>
      </c>
      <c r="O91" s="43"/>
      <c r="P91" s="3">
        <v>16</v>
      </c>
    </row>
    <row r="92" spans="1:16" s="4" customFormat="1" ht="15" customHeight="1" x14ac:dyDescent="0.25">
      <c r="A92" s="2">
        <v>11</v>
      </c>
      <c r="B92" s="17" t="s">
        <v>43</v>
      </c>
      <c r="C92" s="2" t="s">
        <v>22</v>
      </c>
      <c r="D92" s="43">
        <v>4</v>
      </c>
      <c r="E92" s="43">
        <v>28</v>
      </c>
      <c r="F92" s="43">
        <v>18</v>
      </c>
      <c r="G92" s="43"/>
      <c r="H92" s="43"/>
      <c r="I92" s="43">
        <v>15</v>
      </c>
      <c r="J92" s="43">
        <v>10</v>
      </c>
      <c r="K92" s="43">
        <v>13</v>
      </c>
      <c r="L92" s="43">
        <v>8</v>
      </c>
      <c r="M92" s="43"/>
      <c r="N92" s="43"/>
      <c r="O92" s="43"/>
      <c r="P92" s="3">
        <v>18</v>
      </c>
    </row>
    <row r="93" spans="1:16" s="4" customFormat="1" ht="15" customHeight="1" x14ac:dyDescent="0.25">
      <c r="A93" s="2">
        <v>12</v>
      </c>
      <c r="B93" s="2" t="s">
        <v>88</v>
      </c>
      <c r="C93" s="18" t="s">
        <v>90</v>
      </c>
      <c r="D93" s="43">
        <v>3</v>
      </c>
      <c r="E93" s="3">
        <v>28</v>
      </c>
      <c r="F93" s="43">
        <v>20</v>
      </c>
      <c r="G93" s="43">
        <v>2</v>
      </c>
      <c r="H93" s="43">
        <v>1</v>
      </c>
      <c r="I93" s="43">
        <v>16</v>
      </c>
      <c r="J93" s="43">
        <v>14</v>
      </c>
      <c r="K93" s="43">
        <v>10</v>
      </c>
      <c r="L93" s="43">
        <v>5</v>
      </c>
      <c r="M93" s="43"/>
      <c r="N93" s="43"/>
      <c r="O93" s="43"/>
      <c r="P93" s="43">
        <v>8</v>
      </c>
    </row>
    <row r="94" spans="1:16" s="4" customFormat="1" ht="15" customHeight="1" x14ac:dyDescent="0.25">
      <c r="A94" s="2">
        <v>13</v>
      </c>
      <c r="B94" s="2" t="s">
        <v>89</v>
      </c>
      <c r="C94" s="18" t="s">
        <v>90</v>
      </c>
      <c r="D94" s="43">
        <v>3</v>
      </c>
      <c r="E94" s="3">
        <v>32</v>
      </c>
      <c r="F94" s="43">
        <v>20</v>
      </c>
      <c r="G94" s="43">
        <v>4</v>
      </c>
      <c r="H94" s="43">
        <v>1</v>
      </c>
      <c r="I94" s="43">
        <v>23</v>
      </c>
      <c r="J94" s="43">
        <v>18</v>
      </c>
      <c r="K94" s="43">
        <v>5</v>
      </c>
      <c r="L94" s="43">
        <v>1</v>
      </c>
      <c r="M94" s="43"/>
      <c r="N94" s="43"/>
      <c r="O94" s="43"/>
      <c r="P94" s="43">
        <v>12</v>
      </c>
    </row>
    <row r="95" spans="1:16" s="4" customFormat="1" ht="15" customHeight="1" x14ac:dyDescent="0.25">
      <c r="A95" s="2">
        <v>14</v>
      </c>
      <c r="B95" s="5" t="s">
        <v>50</v>
      </c>
      <c r="C95" s="5" t="s">
        <v>29</v>
      </c>
      <c r="D95" s="43">
        <v>2</v>
      </c>
      <c r="E95" s="43">
        <v>20</v>
      </c>
      <c r="F95" s="43">
        <v>10</v>
      </c>
      <c r="G95" s="43">
        <v>10</v>
      </c>
      <c r="H95" s="43">
        <v>5</v>
      </c>
      <c r="I95" s="43">
        <v>10</v>
      </c>
      <c r="J95" s="43">
        <v>5</v>
      </c>
      <c r="K95" s="43"/>
      <c r="L95" s="43"/>
      <c r="M95" s="43"/>
      <c r="N95" s="43"/>
      <c r="O95" s="43"/>
      <c r="P95" s="43">
        <v>4</v>
      </c>
    </row>
    <row r="96" spans="1:16" s="4" customFormat="1" ht="15" customHeight="1" x14ac:dyDescent="0.25">
      <c r="A96" s="2">
        <v>15</v>
      </c>
      <c r="B96" s="26" t="s">
        <v>120</v>
      </c>
      <c r="C96" s="18" t="s">
        <v>29</v>
      </c>
      <c r="D96" s="43" t="s">
        <v>45</v>
      </c>
      <c r="E96" s="43">
        <v>5</v>
      </c>
      <c r="F96" s="43">
        <v>2</v>
      </c>
      <c r="G96" s="43"/>
      <c r="H96" s="43"/>
      <c r="I96" s="43">
        <v>5</v>
      </c>
      <c r="J96" s="43">
        <v>2</v>
      </c>
      <c r="K96" s="43"/>
      <c r="L96" s="43"/>
      <c r="M96" s="43"/>
      <c r="N96" s="43"/>
      <c r="O96" s="43"/>
      <c r="P96" s="3">
        <v>10</v>
      </c>
    </row>
    <row r="97" spans="1:16" s="4" customFormat="1" ht="15" customHeight="1" x14ac:dyDescent="0.25">
      <c r="A97" s="2">
        <v>16</v>
      </c>
      <c r="B97" s="26" t="s">
        <v>93</v>
      </c>
      <c r="C97" s="18" t="s">
        <v>91</v>
      </c>
      <c r="D97" s="43" t="s">
        <v>45</v>
      </c>
      <c r="E97" s="43">
        <v>16</v>
      </c>
      <c r="F97" s="43">
        <v>13</v>
      </c>
      <c r="G97" s="43"/>
      <c r="H97" s="43"/>
      <c r="I97" s="43">
        <v>2</v>
      </c>
      <c r="J97" s="43">
        <v>1</v>
      </c>
      <c r="K97" s="43">
        <v>11</v>
      </c>
      <c r="L97" s="43">
        <v>10</v>
      </c>
      <c r="M97" s="43">
        <v>3</v>
      </c>
      <c r="N97" s="43">
        <v>2</v>
      </c>
      <c r="O97" s="43"/>
      <c r="P97" s="3">
        <v>16</v>
      </c>
    </row>
    <row r="98" spans="1:16" s="4" customFormat="1" ht="15" customHeight="1" x14ac:dyDescent="0.25">
      <c r="A98" s="2">
        <v>17</v>
      </c>
      <c r="B98" s="26" t="s">
        <v>92</v>
      </c>
      <c r="C98" s="18" t="s">
        <v>91</v>
      </c>
      <c r="D98" s="43">
        <v>3</v>
      </c>
      <c r="E98" s="43">
        <v>16</v>
      </c>
      <c r="F98" s="43">
        <v>2</v>
      </c>
      <c r="G98" s="43"/>
      <c r="H98" s="43"/>
      <c r="I98" s="43"/>
      <c r="J98" s="43"/>
      <c r="K98" s="43">
        <v>15</v>
      </c>
      <c r="L98" s="43">
        <v>1</v>
      </c>
      <c r="M98" s="43">
        <v>1</v>
      </c>
      <c r="N98" s="43">
        <v>1</v>
      </c>
      <c r="O98" s="43"/>
      <c r="P98" s="3">
        <v>4</v>
      </c>
    </row>
    <row r="99" spans="1:16" s="4" customFormat="1" ht="15" customHeight="1" x14ac:dyDescent="0.25">
      <c r="A99" s="2">
        <v>18</v>
      </c>
      <c r="B99" s="17" t="s">
        <v>121</v>
      </c>
      <c r="C99" s="2" t="s">
        <v>67</v>
      </c>
      <c r="D99" s="43">
        <v>4</v>
      </c>
      <c r="E99" s="43">
        <v>42</v>
      </c>
      <c r="F99" s="43">
        <v>34</v>
      </c>
      <c r="G99" s="43"/>
      <c r="H99" s="43"/>
      <c r="I99" s="43">
        <v>25</v>
      </c>
      <c r="J99" s="43">
        <v>24</v>
      </c>
      <c r="K99" s="43">
        <v>17</v>
      </c>
      <c r="L99" s="43">
        <v>10</v>
      </c>
      <c r="M99" s="43"/>
      <c r="N99" s="43"/>
      <c r="O99" s="43"/>
      <c r="P99" s="3">
        <v>16</v>
      </c>
    </row>
    <row r="100" spans="1:16" s="4" customFormat="1" ht="15" customHeight="1" x14ac:dyDescent="0.25">
      <c r="A100" s="2">
        <v>19</v>
      </c>
      <c r="B100" s="26" t="s">
        <v>44</v>
      </c>
      <c r="C100" s="18" t="s">
        <v>28</v>
      </c>
      <c r="D100" s="43">
        <v>6</v>
      </c>
      <c r="E100" s="43">
        <v>48</v>
      </c>
      <c r="F100" s="43">
        <v>33</v>
      </c>
      <c r="G100" s="43">
        <v>24</v>
      </c>
      <c r="H100" s="43">
        <v>16</v>
      </c>
      <c r="I100" s="43">
        <v>24</v>
      </c>
      <c r="J100" s="43">
        <v>17</v>
      </c>
      <c r="K100" s="43"/>
      <c r="L100" s="43"/>
      <c r="M100" s="43"/>
      <c r="N100" s="43"/>
      <c r="O100" s="43"/>
      <c r="P100" s="3">
        <v>15</v>
      </c>
    </row>
    <row r="101" spans="1:16" s="4" customFormat="1" ht="15" customHeight="1" x14ac:dyDescent="0.25">
      <c r="A101" s="2">
        <v>20</v>
      </c>
      <c r="B101" s="26" t="s">
        <v>63</v>
      </c>
      <c r="C101" s="18" t="s">
        <v>28</v>
      </c>
      <c r="D101" s="43">
        <v>2</v>
      </c>
      <c r="E101" s="43">
        <v>20</v>
      </c>
      <c r="F101" s="43">
        <v>16</v>
      </c>
      <c r="G101" s="43">
        <v>20</v>
      </c>
      <c r="H101" s="43">
        <v>16</v>
      </c>
      <c r="I101" s="43"/>
      <c r="J101" s="43"/>
      <c r="K101" s="43"/>
      <c r="L101" s="43"/>
      <c r="M101" s="43"/>
      <c r="N101" s="43"/>
      <c r="O101" s="43"/>
      <c r="P101" s="3">
        <v>8</v>
      </c>
    </row>
    <row r="102" spans="1:16" s="4" customFormat="1" ht="15" customHeight="1" x14ac:dyDescent="0.25">
      <c r="A102" s="37"/>
      <c r="B102" s="35" t="s">
        <v>35</v>
      </c>
      <c r="C102" s="18"/>
      <c r="D102" s="21">
        <f t="shared" ref="D102:P102" si="4">SUM(D82:D101)</f>
        <v>62</v>
      </c>
      <c r="E102" s="21">
        <f t="shared" si="4"/>
        <v>701</v>
      </c>
      <c r="F102" s="21">
        <f t="shared" si="4"/>
        <v>439</v>
      </c>
      <c r="G102" s="21">
        <f t="shared" si="4"/>
        <v>244</v>
      </c>
      <c r="H102" s="21">
        <f t="shared" si="4"/>
        <v>143</v>
      </c>
      <c r="I102" s="21">
        <f t="shared" si="4"/>
        <v>268</v>
      </c>
      <c r="J102" s="21">
        <f t="shared" si="4"/>
        <v>199</v>
      </c>
      <c r="K102" s="21">
        <f t="shared" si="4"/>
        <v>182</v>
      </c>
      <c r="L102" s="21">
        <f t="shared" si="4"/>
        <v>93</v>
      </c>
      <c r="M102" s="21">
        <f t="shared" si="4"/>
        <v>7</v>
      </c>
      <c r="N102" s="21">
        <f t="shared" si="4"/>
        <v>4</v>
      </c>
      <c r="O102" s="21">
        <f t="shared" si="4"/>
        <v>0</v>
      </c>
      <c r="P102" s="21">
        <f t="shared" si="4"/>
        <v>231</v>
      </c>
    </row>
    <row r="103" spans="1:16" s="4" customFormat="1" x14ac:dyDescent="0.25">
      <c r="A103" s="26"/>
      <c r="B103" s="5"/>
      <c r="C103" s="2"/>
      <c r="D103" s="43"/>
      <c r="E103" s="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 s="4" customFormat="1" ht="18.75" x14ac:dyDescent="0.3">
      <c r="A104" s="33"/>
      <c r="B104" s="7" t="s">
        <v>36</v>
      </c>
      <c r="C104" s="8"/>
      <c r="D104" s="13">
        <f t="shared" ref="D104:P104" si="5">D17+D56+D70+D80+D102</f>
        <v>201</v>
      </c>
      <c r="E104" s="13">
        <f t="shared" si="5"/>
        <v>2307</v>
      </c>
      <c r="F104" s="13">
        <f t="shared" si="5"/>
        <v>1751</v>
      </c>
      <c r="G104" s="13">
        <f t="shared" si="5"/>
        <v>446</v>
      </c>
      <c r="H104" s="13">
        <f t="shared" si="5"/>
        <v>271</v>
      </c>
      <c r="I104" s="13">
        <f t="shared" si="5"/>
        <v>895</v>
      </c>
      <c r="J104" s="13">
        <f t="shared" si="5"/>
        <v>725</v>
      </c>
      <c r="K104" s="13">
        <f t="shared" si="5"/>
        <v>860</v>
      </c>
      <c r="L104" s="13">
        <f t="shared" si="5"/>
        <v>676</v>
      </c>
      <c r="M104" s="13">
        <f t="shared" si="5"/>
        <v>96</v>
      </c>
      <c r="N104" s="13">
        <f t="shared" si="5"/>
        <v>79</v>
      </c>
      <c r="O104" s="13">
        <f t="shared" si="5"/>
        <v>10</v>
      </c>
      <c r="P104" s="13">
        <f t="shared" si="5"/>
        <v>778</v>
      </c>
    </row>
    <row r="105" spans="1:16" s="4" customFormat="1" x14ac:dyDescent="0.25">
      <c r="A105" s="26"/>
      <c r="B105" s="5"/>
      <c r="C105" s="2"/>
      <c r="D105" s="43"/>
      <c r="E105" s="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 s="50" customFormat="1" x14ac:dyDescent="0.25">
      <c r="A106" s="48"/>
      <c r="B106" s="49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s="50" customFormat="1" x14ac:dyDescent="0.25">
      <c r="A107" s="48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s="6" customFormat="1" x14ac:dyDescent="0.25">
      <c r="A108" s="34"/>
      <c r="B108" s="42"/>
      <c r="D108" s="15"/>
      <c r="E108" s="15"/>
      <c r="F108" s="14"/>
      <c r="G108" s="14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s="6" customFormat="1" x14ac:dyDescent="0.25">
      <c r="A109" s="34"/>
      <c r="D109" s="15"/>
      <c r="E109" s="15"/>
      <c r="F109" s="14"/>
      <c r="G109" s="14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s="6" customFormat="1" x14ac:dyDescent="0.25">
      <c r="A110" s="34"/>
      <c r="D110" s="15"/>
      <c r="E110" s="15"/>
      <c r="F110" s="14"/>
      <c r="G110" s="14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s="6" customFormat="1" x14ac:dyDescent="0.25">
      <c r="A111" s="34"/>
      <c r="D111" s="15"/>
      <c r="E111" s="15"/>
      <c r="F111" s="14"/>
      <c r="G111" s="14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s="6" customFormat="1" x14ac:dyDescent="0.25">
      <c r="A112" s="34"/>
      <c r="D112" s="15"/>
      <c r="E112" s="15"/>
      <c r="F112" s="14"/>
      <c r="G112" s="14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s="6" customFormat="1" x14ac:dyDescent="0.25">
      <c r="A113" s="34"/>
      <c r="D113" s="15"/>
      <c r="E113" s="15"/>
      <c r="F113" s="14"/>
      <c r="G113" s="14"/>
      <c r="H113" s="15"/>
      <c r="I113" s="15"/>
      <c r="J113" s="15"/>
      <c r="K113" s="15"/>
      <c r="L113" s="15"/>
      <c r="M113" s="15"/>
      <c r="N113" s="15"/>
      <c r="O113" s="15"/>
      <c r="P113" s="15"/>
    </row>
  </sheetData>
  <sortState xmlns:xlrd2="http://schemas.microsoft.com/office/spreadsheetml/2017/richdata2" ref="A59:P78">
    <sortCondition ref="C59:C78"/>
  </sortState>
  <mergeCells count="23">
    <mergeCell ref="A81:P81"/>
    <mergeCell ref="O9:O10"/>
    <mergeCell ref="P9:P10"/>
    <mergeCell ref="A11:P11"/>
    <mergeCell ref="A18:P18"/>
    <mergeCell ref="A57:P57"/>
    <mergeCell ref="A71:P71"/>
    <mergeCell ref="A8:A10"/>
    <mergeCell ref="B8:B10"/>
    <mergeCell ref="C8:C10"/>
    <mergeCell ref="D8:D10"/>
    <mergeCell ref="E8:O8"/>
    <mergeCell ref="E9:F9"/>
    <mergeCell ref="G9:H9"/>
    <mergeCell ref="I9:J9"/>
    <mergeCell ref="K9:L9"/>
    <mergeCell ref="M9:N9"/>
    <mergeCell ref="M1:P1"/>
    <mergeCell ref="M2:P2"/>
    <mergeCell ref="M3:P3"/>
    <mergeCell ref="M4:P4"/>
    <mergeCell ref="M5:P5"/>
    <mergeCell ref="A6:P6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01.10.2025  СРП</vt:lpstr>
      <vt:lpstr>01.10.2025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Пазинич</dc:creator>
  <cp:lastModifiedBy>Ilay Gural</cp:lastModifiedBy>
  <cp:lastPrinted>2026-03-31T04:18:36Z</cp:lastPrinted>
  <dcterms:created xsi:type="dcterms:W3CDTF">2018-08-30T04:44:56Z</dcterms:created>
  <dcterms:modified xsi:type="dcterms:W3CDTF">2026-05-29T07:15:34Z</dcterms:modified>
</cp:coreProperties>
</file>